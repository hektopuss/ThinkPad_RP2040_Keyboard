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0" windowWidth="1995" windowHeight="10110" activeTab="2"/>
  </bookViews>
  <sheets>
    <sheet name="Tabelle1" sheetId="1" r:id="rId1"/>
    <sheet name="Matrix" sheetId="2" r:id="rId2"/>
    <sheet name="Matrix (2)" sheetId="4" r:id="rId3"/>
    <sheet name="Pinout" sheetId="3" r:id="rId4"/>
  </sheets>
  <definedNames>
    <definedName name="_xlnm._FilterDatabase" localSheetId="3" hidden="1">Pinout!$B$1:$F$1</definedName>
    <definedName name="_xlnm.Print_Area" localSheetId="1">Matrix!$B$153:$N$194</definedName>
  </definedNames>
  <calcPr calcId="125725"/>
</workbook>
</file>

<file path=xl/calcChain.xml><?xml version="1.0" encoding="utf-8"?>
<calcChain xmlns="http://schemas.openxmlformats.org/spreadsheetml/2006/main">
  <c r="D122" i="4"/>
  <c r="D120"/>
  <c r="D118"/>
  <c r="D116"/>
  <c r="D114"/>
  <c r="D112"/>
  <c r="D110"/>
  <c r="D108"/>
  <c r="D106"/>
  <c r="D104"/>
  <c r="D102"/>
  <c r="D100"/>
  <c r="D98"/>
  <c r="D96"/>
  <c r="D94"/>
  <c r="D92"/>
  <c r="D79"/>
  <c r="D77"/>
  <c r="D75"/>
  <c r="D73"/>
  <c r="D71"/>
  <c r="D69"/>
  <c r="D67"/>
  <c r="D65"/>
  <c r="D63"/>
  <c r="D61"/>
  <c r="D59"/>
  <c r="D57"/>
  <c r="D55"/>
  <c r="D53"/>
  <c r="D51"/>
  <c r="D49"/>
  <c r="D8"/>
  <c r="D10"/>
  <c r="D12"/>
  <c r="D14"/>
  <c r="D16"/>
  <c r="D18"/>
  <c r="D20"/>
  <c r="D22"/>
  <c r="D24"/>
  <c r="D26"/>
  <c r="D28"/>
  <c r="D30"/>
  <c r="D32"/>
  <c r="D34"/>
  <c r="D36"/>
  <c r="D6"/>
</calcChain>
</file>

<file path=xl/sharedStrings.xml><?xml version="1.0" encoding="utf-8"?>
<sst xmlns="http://schemas.openxmlformats.org/spreadsheetml/2006/main" count="1088" uniqueCount="376">
  <si>
    <t>I/O #</t>
  </si>
  <si>
    <t>&lt;</t>
  </si>
  <si>
    <t>^</t>
  </si>
  <si>
    <t>#</t>
  </si>
  <si>
    <t>ScrLk</t>
  </si>
  <si>
    <t>PrtSc</t>
  </si>
  <si>
    <t>Alt-R</t>
  </si>
  <si>
    <t>Alt-L</t>
  </si>
  <si>
    <t>Home</t>
  </si>
  <si>
    <t>End</t>
  </si>
  <si>
    <t>Left</t>
  </si>
  <si>
    <t>Pause</t>
  </si>
  <si>
    <t>Up</t>
  </si>
  <si>
    <t>Ins</t>
  </si>
  <si>
    <t>F12</t>
  </si>
  <si>
    <t>Right</t>
  </si>
  <si>
    <t>Del</t>
  </si>
  <si>
    <t>Vol+</t>
  </si>
  <si>
    <t>F11</t>
  </si>
  <si>
    <t>Down</t>
  </si>
  <si>
    <t>Mute</t>
  </si>
  <si>
    <t>Vol-</t>
  </si>
  <si>
    <t>-</t>
  </si>
  <si>
    <t>ß</t>
  </si>
  <si>
    <t>q</t>
  </si>
  <si>
    <t>w</t>
  </si>
  <si>
    <t>e</t>
  </si>
  <si>
    <t>r</t>
  </si>
  <si>
    <t>t</t>
  </si>
  <si>
    <t>z</t>
  </si>
  <si>
    <t>u</t>
  </si>
  <si>
    <t>o</t>
  </si>
  <si>
    <t>p</t>
  </si>
  <si>
    <t>ü</t>
  </si>
  <si>
    <t>Enter</t>
  </si>
  <si>
    <t>a</t>
  </si>
  <si>
    <t>s</t>
  </si>
  <si>
    <t>d</t>
  </si>
  <si>
    <t>f</t>
  </si>
  <si>
    <t>g</t>
  </si>
  <si>
    <t>h</t>
  </si>
  <si>
    <t>j</t>
  </si>
  <si>
    <t>l</t>
  </si>
  <si>
    <t>ö</t>
  </si>
  <si>
    <t>ä</t>
  </si>
  <si>
    <t>y</t>
  </si>
  <si>
    <t>x</t>
  </si>
  <si>
    <t>c</t>
  </si>
  <si>
    <t>v</t>
  </si>
  <si>
    <t>b</t>
  </si>
  <si>
    <t>n</t>
  </si>
  <si>
    <t>m</t>
  </si>
  <si>
    <t>.</t>
  </si>
  <si>
    <t>Ctrl-L</t>
  </si>
  <si>
    <t>Space</t>
  </si>
  <si>
    <t>Menu</t>
  </si>
  <si>
    <t>Ctrl-R</t>
  </si>
  <si>
    <t>ESC</t>
  </si>
  <si>
    <t>F1</t>
  </si>
  <si>
    <t>F2</t>
  </si>
  <si>
    <t>F3</t>
  </si>
  <si>
    <t>F5</t>
  </si>
  <si>
    <t>F4</t>
  </si>
  <si>
    <t>F7</t>
  </si>
  <si>
    <t>F8</t>
  </si>
  <si>
    <t>F9</t>
  </si>
  <si>
    <t>F10</t>
  </si>
  <si>
    <t>Pg-Up</t>
  </si>
  <si>
    <t>BckSpc</t>
  </si>
  <si>
    <t>ThinkV</t>
  </si>
  <si>
    <t>Tab</t>
  </si>
  <si>
    <t>Shift-R</t>
  </si>
  <si>
    <t>Shift-L</t>
  </si>
  <si>
    <t>Caps</t>
  </si>
  <si>
    <t>Pg-Dn</t>
  </si>
  <si>
    <t>Pg-R</t>
  </si>
  <si>
    <t>Pg-L</t>
  </si>
  <si>
    <t>i</t>
  </si>
  <si>
    <t>k</t>
  </si>
  <si>
    <t>F6</t>
  </si>
  <si>
    <t>,</t>
  </si>
  <si>
    <t>´</t>
  </si>
  <si>
    <t>Regular Key</t>
  </si>
  <si>
    <t>Multimedia</t>
  </si>
  <si>
    <t>Modifier</t>
  </si>
  <si>
    <t>KEY_SYSTEM_POWER_DOWN</t>
  </si>
  <si>
    <t>KEY_SYSTEM_SLEEP</t>
  </si>
  <si>
    <t>KEY_SYSTEM_WAKE_UP</t>
  </si>
  <si>
    <t>KEY_MEDIA_PLAY</t>
  </si>
  <si>
    <t>KEY_MEDIA_PAUSE</t>
  </si>
  <si>
    <t>KEY_MEDIA_NEXT_TRACK</t>
  </si>
  <si>
    <t>KEY_MEDIA_PREV_TRACK</t>
  </si>
  <si>
    <t>KEY_MEDIA_STOP</t>
  </si>
  <si>
    <t>KEY_MEDIA_EJECT</t>
  </si>
  <si>
    <t>Fn +</t>
  </si>
  <si>
    <t>KEY_MEDIA_PLAY_PAUSE</t>
  </si>
  <si>
    <t>KEY_MEDIA_RECORD</t>
  </si>
  <si>
    <t>KEY_MEDIA_FAST_FORWARD</t>
  </si>
  <si>
    <t>KEY_MEDIA_REWIND</t>
  </si>
  <si>
    <t>KEY_MEDIA_RANDOM_PLAY</t>
  </si>
  <si>
    <t>KEY_MEDIA_PLAY_SKIP</t>
  </si>
  <si>
    <t>free</t>
  </si>
  <si>
    <t>media</t>
  </si>
  <si>
    <t>keys</t>
  </si>
  <si>
    <t>\</t>
  </si>
  <si>
    <t>switched Ger/Eng</t>
  </si>
  <si>
    <t>fn-overlay</t>
  </si>
  <si>
    <t>ScrBr+</t>
  </si>
  <si>
    <t>SrcBr-</t>
  </si>
  <si>
    <t>ThinkLED</t>
  </si>
  <si>
    <t>Num</t>
  </si>
  <si>
    <t>S-Abf</t>
  </si>
  <si>
    <t>&gt;|</t>
  </si>
  <si>
    <t>|&lt;</t>
  </si>
  <si>
    <t>&gt; /||</t>
  </si>
  <si>
    <t>[ ] Stop</t>
  </si>
  <si>
    <t>F4/Sleep</t>
  </si>
  <si>
    <t>F12/Hbrn</t>
  </si>
  <si>
    <t>F9/Eject</t>
  </si>
  <si>
    <t>F7/Proj</t>
  </si>
  <si>
    <t>F5/Wifi</t>
  </si>
  <si>
    <t>F2/Lock</t>
  </si>
  <si>
    <t>F8/TP</t>
  </si>
  <si>
    <t>F3/ScrSv</t>
  </si>
  <si>
    <t>GUI/Win</t>
  </si>
  <si>
    <t>Num-Lock</t>
  </si>
  <si>
    <t>BACKSLASH</t>
  </si>
  <si>
    <t>SLASH</t>
  </si>
  <si>
    <t>MINUS</t>
  </si>
  <si>
    <t>SEMICOLON</t>
  </si>
  <si>
    <t>LEFT_BRACE</t>
  </si>
  <si>
    <t>QUOTE</t>
  </si>
  <si>
    <t>PERIOD</t>
  </si>
  <si>
    <t>EQUAL</t>
  </si>
  <si>
    <t>COMMA</t>
  </si>
  <si>
    <t>RIGHT_BRACE</t>
  </si>
  <si>
    <t>TILDE</t>
  </si>
  <si>
    <t>KEY_Z</t>
  </si>
  <si>
    <t>Shift-Right</t>
  </si>
  <si>
    <t>Shift-Left</t>
  </si>
  <si>
    <t>Ctrl-Right</t>
  </si>
  <si>
    <t>Ctrl-Left</t>
  </si>
  <si>
    <t>Alt-Right</t>
  </si>
  <si>
    <t>Alt-Left</t>
  </si>
  <si>
    <t>NON_US_BS</t>
  </si>
  <si>
    <t>KEY_Y</t>
  </si>
  <si>
    <t>Page-Up</t>
  </si>
  <si>
    <t>Page-Down</t>
  </si>
  <si>
    <t>Document-Right</t>
  </si>
  <si>
    <t>Document-Left</t>
  </si>
  <si>
    <t>AC_FORWARD</t>
  </si>
  <si>
    <t>AC_BACK</t>
  </si>
  <si>
    <t>Scroll-Lock</t>
  </si>
  <si>
    <t>Print-Screen</t>
  </si>
  <si>
    <t>Vol-Up</t>
  </si>
  <si>
    <t>Vol-Down</t>
  </si>
  <si>
    <t>ThinkVantage</t>
  </si>
  <si>
    <t>Insert</t>
  </si>
  <si>
    <t>Delete</t>
  </si>
  <si>
    <t>Cursor Left</t>
  </si>
  <si>
    <t>Cursor Right</t>
  </si>
  <si>
    <t>Cursor Down</t>
  </si>
  <si>
    <t>Cursor Up</t>
  </si>
  <si>
    <t>Back-Space</t>
  </si>
  <si>
    <t>KEYPAD_ASTERIX</t>
  </si>
  <si>
    <t>*</t>
  </si>
  <si>
    <t>KEYPAD_SLASH</t>
  </si>
  <si>
    <t>/</t>
  </si>
  <si>
    <t>KEYPAD_PLUS</t>
  </si>
  <si>
    <t>+</t>
  </si>
  <si>
    <t>KEYPAD_MINUS</t>
  </si>
  <si>
    <t>KEYPAD_6</t>
  </si>
  <si>
    <t>KEYPAD_9</t>
  </si>
  <si>
    <t>KEYPAD_PERIOD</t>
  </si>
  <si>
    <t>KEYPAD_3</t>
  </si>
  <si>
    <t>KEYPAD_5</t>
  </si>
  <si>
    <t>KEYPAD_8</t>
  </si>
  <si>
    <t>KEYPAD_2</t>
  </si>
  <si>
    <t>Caps-Lock</t>
  </si>
  <si>
    <t>Esc</t>
  </si>
  <si>
    <t>Caps-Locks</t>
  </si>
  <si>
    <t>KEYPAD_4</t>
  </si>
  <si>
    <t>KEYPAD_7</t>
  </si>
  <si>
    <t>KEYPAD_1</t>
  </si>
  <si>
    <t>Play/Pause</t>
  </si>
  <si>
    <t>Next Track</t>
  </si>
  <si>
    <t>Prev Track</t>
  </si>
  <si>
    <t>Stop</t>
  </si>
  <si>
    <t>F12 / Hibernate</t>
  </si>
  <si>
    <t>F7 / Project</t>
  </si>
  <si>
    <t>MEDIA_EJECT</t>
  </si>
  <si>
    <t>ThinkLight</t>
  </si>
  <si>
    <t>KEYPAD_0</t>
  </si>
  <si>
    <t>NumPad</t>
  </si>
  <si>
    <t>Fn Key-Combo</t>
  </si>
  <si>
    <t>F2 / Lock</t>
  </si>
  <si>
    <t>(Win+P)</t>
  </si>
  <si>
    <t>(Win+L)</t>
  </si>
  <si>
    <t>Track Point/Pad</t>
  </si>
  <si>
    <t>Screen Bright-</t>
  </si>
  <si>
    <t>ness Up</t>
  </si>
  <si>
    <t>ness Down</t>
  </si>
  <si>
    <t>F3 / Screen Saver</t>
  </si>
  <si>
    <t>F4 / Sleep</t>
  </si>
  <si>
    <t>F5 / Wifi-Toggle</t>
  </si>
  <si>
    <t>Space / Zoom</t>
  </si>
  <si>
    <t>F9 / Eject</t>
  </si>
  <si>
    <t>}]</t>
  </si>
  <si>
    <t>Ger:y  /  Intl:z</t>
  </si>
  <si>
    <t>Added in ISO
Missing in ANSI</t>
  </si>
  <si>
    <t>Keycodes</t>
  </si>
  <si>
    <t xml:space="preserve"> Num-Lock</t>
  </si>
  <si>
    <t xml:space="preserve"> Regular KeyMap</t>
  </si>
  <si>
    <t xml:space="preserve"> Fn-Overlay</t>
  </si>
  <si>
    <t>Ger:ä   Intl:"</t>
  </si>
  <si>
    <t>Ger:ü   Intl:[{</t>
  </si>
  <si>
    <t>Ger:ö   Intl:;</t>
  </si>
  <si>
    <t>Ger:-   Intl:/</t>
  </si>
  <si>
    <t>Ger:ß   Intl:-</t>
  </si>
  <si>
    <t>Ger:z   Intl:y</t>
  </si>
  <si>
    <t>Ger:y   Intl:z</t>
  </si>
  <si>
    <t>German</t>
  </si>
  <si>
    <t>International</t>
  </si>
  <si>
    <t>Ger+Shift</t>
  </si>
  <si>
    <t>&gt;</t>
  </si>
  <si>
    <t>|</t>
  </si>
  <si>
    <t>Ger+AltGr</t>
  </si>
  <si>
    <t>'</t>
  </si>
  <si>
    <t>Notes</t>
  </si>
  <si>
    <t>~</t>
  </si>
  <si>
    <t>Intl.+Shift</t>
  </si>
  <si>
    <t>Intl.+AltGr</t>
  </si>
  <si>
    <t>Ger: &lt;&gt;|  Intl:\|</t>
  </si>
  <si>
    <t>Ger: &lt;&gt; | Intl:\|</t>
  </si>
  <si>
    <t>Ger:#'   Intl:#~\</t>
  </si>
  <si>
    <t>ignore the german swaps in green,</t>
  </si>
  <si>
    <t>even the german keyboard sends</t>
  </si>
  <si>
    <t>The mapping is only keycaps and</t>
  </si>
  <si>
    <t>the operating system</t>
  </si>
  <si>
    <t>KeyTypes</t>
  </si>
  <si>
    <t>0x6F | 0xE400</t>
  </si>
  <si>
    <t>0x70 | 0xE400</t>
  </si>
  <si>
    <t>0x81 | 0xE200</t>
  </si>
  <si>
    <t>AC_ZOOM</t>
  </si>
  <si>
    <t>BRIGHTNESS_INC</t>
  </si>
  <si>
    <t>BRIGHTNESS_DEC</t>
  </si>
  <si>
    <t>SYSTEM_HIBERNATE</t>
  </si>
  <si>
    <t>0x225 | 0xE400</t>
  </si>
  <si>
    <t>0x224 | 0xE400</t>
  </si>
  <si>
    <t>0x22F | 0xE400</t>
  </si>
  <si>
    <t>AL_CALCULATOR</t>
  </si>
  <si>
    <t>0x192 | 0xE400</t>
  </si>
  <si>
    <t>MEDIA_MUTE</t>
  </si>
  <si>
    <t>MEDIA_VOLUME_DEC</t>
  </si>
  <si>
    <t>MEDIA_VOLUME_INC</t>
  </si>
  <si>
    <t>MEDIA_PREV_TRACK</t>
  </si>
  <si>
    <t>MEDIA_NEXT_TRACK</t>
  </si>
  <si>
    <t>MEDIA_PLAY_PAUSE</t>
  </si>
  <si>
    <t>SYSTEM_SLEEP</t>
  </si>
  <si>
    <t>SYSTEM_PROJECT</t>
  </si>
  <si>
    <t>Fn+Left</t>
  </si>
  <si>
    <t>Fn+Right</t>
  </si>
  <si>
    <t>Fn+Down</t>
  </si>
  <si>
    <t>Fn+Up</t>
  </si>
  <si>
    <t>Fn+F4</t>
  </si>
  <si>
    <t>AL_TERMINAL_LOCK</t>
  </si>
  <si>
    <t>Fn+F12</t>
  </si>
  <si>
    <t>Fn+Home</t>
  </si>
  <si>
    <t>Fn+End</t>
  </si>
  <si>
    <t>Fn+Space</t>
  </si>
  <si>
    <t>Document right</t>
  </si>
  <si>
    <t>Document left</t>
  </si>
  <si>
    <t>Identifier</t>
  </si>
  <si>
    <t>KeyCode</t>
  </si>
  <si>
    <t>Keys pressed</t>
  </si>
  <si>
    <t>Volume Down</t>
  </si>
  <si>
    <t>Volume Up</t>
  </si>
  <si>
    <t>Fn+F2</t>
  </si>
  <si>
    <t>does not work on Windows, send Win+L instead</t>
  </si>
  <si>
    <t>does not work on Windows, send Win+P instead</t>
  </si>
  <si>
    <t>Fn+F7</t>
  </si>
  <si>
    <t>Fn+F9</t>
  </si>
  <si>
    <t>AL_SCREEN_SAVER</t>
  </si>
  <si>
    <t>Fn+F3</t>
  </si>
  <si>
    <t>AL_WIFI_STATUS</t>
  </si>
  <si>
    <t>Fn+F5</t>
  </si>
  <si>
    <t>does not do anythink in Windows</t>
  </si>
  <si>
    <t>Fn+F8</t>
  </si>
  <si>
    <t>used internally to switch TrackPoint on/off</t>
  </si>
  <si>
    <t>works on Windows</t>
  </si>
  <si>
    <t>all working</t>
  </si>
  <si>
    <t>MEDIA_STOP</t>
  </si>
  <si>
    <t>0xB5 | 0xE200</t>
  </si>
  <si>
    <t>0x1AD | 0xE400</t>
  </si>
  <si>
    <t>0x19E | 0xE400</t>
  </si>
  <si>
    <t>0x1B1 | 0xE400</t>
  </si>
  <si>
    <t>0xE2 | 0xE400</t>
  </si>
  <si>
    <t>Calculator on ThinkVantage-Button, but could be anything else</t>
  </si>
  <si>
    <t>0xE9 | 0xE400</t>
  </si>
  <si>
    <t>0xEA | 0xE400</t>
  </si>
  <si>
    <t>0xB3 | 0xE400</t>
  </si>
  <si>
    <t>0xB4 | 0xE400</t>
  </si>
  <si>
    <t>MEDIA_REWIND</t>
  </si>
  <si>
    <t>MEDIA_FAST_FORWARD</t>
  </si>
  <si>
    <t>0xB6 | 0xE400</t>
  </si>
  <si>
    <t>0xB5 | 0xE400</t>
  </si>
  <si>
    <t>0xCD | 0xE400</t>
  </si>
  <si>
    <t>0xB7 | 0xE400</t>
  </si>
  <si>
    <t>Fn+DocRight</t>
  </si>
  <si>
    <t>Fn+DocLEft</t>
  </si>
  <si>
    <t>working on windows</t>
  </si>
  <si>
    <t>using these two keys additionally to the blue imprints for media control</t>
  </si>
  <si>
    <t>100 | 0xF000</t>
  </si>
  <si>
    <t>49 | 0xF000</t>
  </si>
  <si>
    <t>0x82 | 0xE200</t>
  </si>
  <si>
    <t>// Keycodes-Ranges:</t>
  </si>
  <si>
    <t>//     32 - 127     ASCII direct (U+0020 to U+007F) &lt;-- uses layout</t>
  </si>
  <si>
    <t>//    128 - 0xC1FF  Unicode direct (U+0080 to U+C1FF) &lt;-- uses layout</t>
  </si>
  <si>
    <t>// 0xC200 - 0xDFFF  Unicode UTF8 packed (U+0080 to U+07FF) &lt;-- uses layout</t>
  </si>
  <si>
    <t>// 0xE000 - 0xE0FF  Modifier key (bitmap, 8 keys, shift/ctrl/alt/gui)</t>
  </si>
  <si>
    <t>// 0xE200 - 0xE2FF  System key (HID usage code, within usage page 1)</t>
  </si>
  <si>
    <t>// 0xE400 - 0xE7FF  Media/Consumer key (HID usage code, within usage page 12)</t>
  </si>
  <si>
    <t>// 0xF000 - 0xFFFF  Normal key (HID usage code, within usage page 7)</t>
  </si>
  <si>
    <t>0xB8 | 0xE400</t>
  </si>
  <si>
    <t>working on Windows</t>
  </si>
  <si>
    <t>but your screen needs to support changing the brightness over HDMI/DP</t>
  </si>
  <si>
    <t>the same keycodes as a UK or</t>
  </si>
  <si>
    <t>any other ISO keyboard.</t>
  </si>
  <si>
    <t>works as Forward/Back in most applications (e.g. browser)</t>
  </si>
  <si>
    <t>does not seem to work</t>
  </si>
  <si>
    <t>ANSI-Key
Missing in ISO</t>
  </si>
  <si>
    <t xml:space="preserve"> Teensy I/O                7</t>
  </si>
  <si>
    <t>Keyboard Pin     5</t>
  </si>
  <si>
    <t>Column on Pin 15</t>
  </si>
  <si>
    <t>Row on Pin 12</t>
  </si>
  <si>
    <t>Column on Pin 3</t>
  </si>
  <si>
    <t>Row in Pin 18</t>
  </si>
  <si>
    <t>Column on Pin 5</t>
  </si>
  <si>
    <t>Row on Pin 6</t>
  </si>
  <si>
    <t>Keyboard Connector</t>
  </si>
  <si>
    <t>Teensy I/O</t>
  </si>
  <si>
    <t>Description</t>
  </si>
  <si>
    <t>Fn Hot Key</t>
  </si>
  <si>
    <t>Row Output</t>
  </si>
  <si>
    <t>Column Input</t>
  </si>
  <si>
    <t>Power Switch</t>
  </si>
  <si>
    <t>J2-2</t>
  </si>
  <si>
    <t>NC</t>
  </si>
  <si>
    <t>GND</t>
  </si>
  <si>
    <t>Trackpoint CLK</t>
  </si>
  <si>
    <t>Trackpoint DTA</t>
  </si>
  <si>
    <t>5V</t>
  </si>
  <si>
    <t>Trackpoint RST</t>
  </si>
  <si>
    <t>Hardwired Reset Curcuit</t>
  </si>
  <si>
    <t>Level Translated</t>
  </si>
  <si>
    <t>CAPS LOCK</t>
  </si>
  <si>
    <t>NUM LOCK</t>
  </si>
  <si>
    <t>Teensy Onboard LED</t>
  </si>
  <si>
    <t>Spare I/O Tx5</t>
  </si>
  <si>
    <t>Spare I/O Rx5</t>
  </si>
  <si>
    <t>Touchpad CLK</t>
  </si>
  <si>
    <t>Touchpad DTA</t>
  </si>
  <si>
    <t>RP2040 I/O</t>
  </si>
  <si>
    <t>RP2040 LED</t>
  </si>
  <si>
    <t xml:space="preserve"> Teensy I/O</t>
  </si>
  <si>
    <t>Keyboard</t>
  </si>
  <si>
    <t>SysReq</t>
  </si>
  <si>
    <t>RP2040 GP        6</t>
  </si>
  <si>
    <t xml:space="preserve"> Teensy I/O </t>
  </si>
  <si>
    <t>green, every ISO-keyboard</t>
  </si>
  <si>
    <t>reports the same keycodes</t>
  </si>
  <si>
    <t>in your OS</t>
  </si>
  <si>
    <t>select the current keymap</t>
  </si>
  <si>
    <t>regardless of the keycaps.</t>
  </si>
  <si>
    <t>That is why you need to</t>
  </si>
  <si>
    <t>Ignore the german swaps in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</si>
</sst>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D35400"/>
      <name val="Consolas"/>
      <family val="3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onsolas"/>
      <family val="3"/>
    </font>
    <font>
      <sz val="11"/>
      <color rgb="FF95A5A6"/>
      <name val="Consolas"/>
      <family val="3"/>
    </font>
    <font>
      <sz val="11"/>
      <color rgb="FF00B05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499984740745262"/>
        <bgColor indexed="64"/>
      </patternFill>
    </fill>
    <fill>
      <gradientFill degree="180">
        <stop position="0">
          <color rgb="FF00B0F0"/>
        </stop>
        <stop position="1">
          <color theme="3" tint="0.80001220740379042"/>
        </stop>
      </gradientFill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2" fillId="8" borderId="0" xfId="0" applyFont="1" applyFill="1" applyAlignment="1">
      <alignment horizontal="center"/>
    </xf>
    <xf numFmtId="0" fontId="0" fillId="7" borderId="0" xfId="0" applyFill="1"/>
    <xf numFmtId="0" fontId="2" fillId="8" borderId="0" xfId="0" applyFont="1" applyFill="1"/>
    <xf numFmtId="0" fontId="3" fillId="0" borderId="0" xfId="0" applyFont="1"/>
    <xf numFmtId="0" fontId="0" fillId="5" borderId="0" xfId="0" applyFill="1"/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4" fillId="11" borderId="5" xfId="0" applyFont="1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1" fillId="12" borderId="0" xfId="0" applyFont="1" applyFill="1"/>
    <xf numFmtId="0" fontId="5" fillId="12" borderId="0" xfId="0" applyFont="1" applyFill="1"/>
    <xf numFmtId="0" fontId="1" fillId="12" borderId="0" xfId="0" applyFont="1" applyFill="1" applyAlignment="1">
      <alignment horizontal="left"/>
    </xf>
    <xf numFmtId="0" fontId="0" fillId="0" borderId="0" xfId="0" applyBorder="1"/>
    <xf numFmtId="0" fontId="0" fillId="0" borderId="12" xfId="0" applyBorder="1"/>
    <xf numFmtId="0" fontId="0" fillId="4" borderId="6" xfId="0" applyFill="1" applyBorder="1" applyAlignment="1">
      <alignment horizontal="center"/>
    </xf>
    <xf numFmtId="0" fontId="0" fillId="0" borderId="9" xfId="0" applyBorder="1"/>
    <xf numFmtId="0" fontId="1" fillId="12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quotePrefix="1" applyBorder="1" applyAlignment="1">
      <alignment horizontal="center"/>
    </xf>
    <xf numFmtId="0" fontId="7" fillId="0" borderId="0" xfId="0" applyFont="1"/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0" fillId="2" borderId="7" xfId="0" applyFill="1" applyBorder="1" applyAlignment="1">
      <alignment horizontal="left"/>
    </xf>
    <xf numFmtId="0" fontId="9" fillId="4" borderId="7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/>
    </xf>
    <xf numFmtId="0" fontId="9" fillId="0" borderId="0" xfId="0" applyFont="1" applyBorder="1" applyAlignment="1">
      <alignment horizontal="right"/>
    </xf>
    <xf numFmtId="0" fontId="9" fillId="0" borderId="12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0" fillId="0" borderId="0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3" xfId="0" applyBorder="1"/>
    <xf numFmtId="0" fontId="9" fillId="0" borderId="13" xfId="0" applyFont="1" applyBorder="1" applyAlignment="1">
      <alignment horizontal="right"/>
    </xf>
    <xf numFmtId="0" fontId="10" fillId="0" borderId="0" xfId="0" applyFont="1"/>
    <xf numFmtId="0" fontId="8" fillId="0" borderId="0" xfId="0" applyFont="1" applyBorder="1"/>
    <xf numFmtId="0" fontId="11" fillId="0" borderId="0" xfId="0" applyFont="1" applyBorder="1"/>
    <xf numFmtId="0" fontId="8" fillId="0" borderId="13" xfId="0" applyFont="1" applyBorder="1"/>
    <xf numFmtId="0" fontId="12" fillId="0" borderId="0" xfId="0" applyFont="1" applyFill="1" applyBorder="1"/>
    <xf numFmtId="0" fontId="11" fillId="0" borderId="13" xfId="0" applyFont="1" applyBorder="1"/>
    <xf numFmtId="0" fontId="11" fillId="0" borderId="12" xfId="0" applyFont="1" applyBorder="1"/>
    <xf numFmtId="0" fontId="11" fillId="0" borderId="9" xfId="0" applyFont="1" applyBorder="1"/>
    <xf numFmtId="0" fontId="8" fillId="0" borderId="9" xfId="0" applyFont="1" applyBorder="1"/>
    <xf numFmtId="0" fontId="8" fillId="0" borderId="0" xfId="0" applyFont="1" applyFill="1" applyBorder="1"/>
    <xf numFmtId="0" fontId="1" fillId="3" borderId="14" xfId="0" applyFont="1" applyFill="1" applyBorder="1" applyAlignment="1">
      <alignment horizontal="center"/>
    </xf>
    <xf numFmtId="0" fontId="1" fillId="14" borderId="0" xfId="0" applyFont="1" applyFill="1" applyBorder="1" applyAlignment="1">
      <alignment horizontal="center"/>
    </xf>
    <xf numFmtId="0" fontId="1" fillId="14" borderId="4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14" borderId="0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0" fillId="0" borderId="11" xfId="0" applyBorder="1"/>
    <xf numFmtId="0" fontId="0" fillId="0" borderId="15" xfId="0" applyBorder="1"/>
    <xf numFmtId="0" fontId="0" fillId="15" borderId="5" xfId="0" applyFill="1" applyBorder="1" applyAlignment="1">
      <alignment horizontal="center"/>
    </xf>
    <xf numFmtId="0" fontId="13" fillId="15" borderId="5" xfId="0" applyFont="1" applyFill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13" fillId="15" borderId="7" xfId="0" applyFont="1" applyFill="1" applyBorder="1" applyAlignment="1">
      <alignment horizontal="center"/>
    </xf>
    <xf numFmtId="0" fontId="14" fillId="15" borderId="7" xfId="0" applyFont="1" applyFill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5" fillId="0" borderId="0" xfId="0" applyFont="1" applyAlignment="1">
      <alignment horizontal="left"/>
    </xf>
    <xf numFmtId="0" fontId="2" fillId="8" borderId="4" xfId="0" applyFont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1" fillId="3" borderId="0" xfId="0" applyFont="1" applyFill="1" applyBorder="1" applyAlignment="1">
      <alignment horizontal="center"/>
    </xf>
    <xf numFmtId="0" fontId="1" fillId="16" borderId="0" xfId="0" applyFont="1" applyFill="1" applyBorder="1" applyAlignment="1">
      <alignment horizontal="left"/>
    </xf>
    <xf numFmtId="0" fontId="1" fillId="16" borderId="4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17" borderId="6" xfId="0" applyFill="1" applyBorder="1" applyAlignment="1">
      <alignment horizontal="center"/>
    </xf>
    <xf numFmtId="0" fontId="0" fillId="17" borderId="7" xfId="0" applyFill="1" applyBorder="1" applyAlignment="1">
      <alignment horizontal="center"/>
    </xf>
    <xf numFmtId="0" fontId="1" fillId="14" borderId="5" xfId="0" applyFont="1" applyFill="1" applyBorder="1" applyAlignment="1">
      <alignment horizontal="center" vertical="center"/>
    </xf>
    <xf numFmtId="0" fontId="1" fillId="14" borderId="7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3" borderId="7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16" borderId="0" xfId="0" applyFont="1" applyFill="1" applyBorder="1" applyAlignment="1">
      <alignment horizontal="center" vertical="center"/>
    </xf>
    <xf numFmtId="0" fontId="1" fillId="14" borderId="14" xfId="0" applyFont="1" applyFill="1" applyBorder="1" applyAlignment="1">
      <alignment horizontal="center" vertical="center"/>
    </xf>
    <xf numFmtId="0" fontId="1" fillId="14" borderId="1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/>
    </xf>
    <xf numFmtId="0" fontId="16" fillId="12" borderId="0" xfId="0" applyFont="1" applyFill="1"/>
    <xf numFmtId="0" fontId="17" fillId="12" borderId="0" xfId="0" applyFont="1" applyFill="1"/>
    <xf numFmtId="0" fontId="6" fillId="13" borderId="5" xfId="0" applyFont="1" applyFill="1" applyBorder="1" applyAlignment="1">
      <alignment horizontal="center" vertical="center"/>
    </xf>
    <xf numFmtId="0" fontId="9" fillId="17" borderId="7" xfId="0" applyFont="1" applyFill="1" applyBorder="1" applyAlignment="1">
      <alignment horizontal="center"/>
    </xf>
    <xf numFmtId="0" fontId="0" fillId="17" borderId="5" xfId="0" applyFill="1" applyBorder="1" applyAlignment="1">
      <alignment horizontal="center"/>
    </xf>
    <xf numFmtId="0" fontId="0" fillId="12" borderId="0" xfId="0" applyFill="1"/>
  </cellXfs>
  <cellStyles count="1">
    <cellStyle name="Standard" xfId="0" builtinId="0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704849</xdr:colOff>
      <xdr:row>113</xdr:row>
      <xdr:rowOff>180975</xdr:rowOff>
    </xdr:from>
    <xdr:to>
      <xdr:col>9</xdr:col>
      <xdr:colOff>1095374</xdr:colOff>
      <xdr:row>143</xdr:row>
      <xdr:rowOff>29509</xdr:rowOff>
    </xdr:to>
    <xdr:pic>
      <xdr:nvPicPr>
        <xdr:cNvPr id="11" name="Grafik 10" descr="Physical_keyboard_layouts_comparison_ANSI_IS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00149" y="21135975"/>
          <a:ext cx="7077075" cy="5563534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137</xdr:row>
      <xdr:rowOff>104776</xdr:rowOff>
    </xdr:from>
    <xdr:to>
      <xdr:col>4</xdr:col>
      <xdr:colOff>800103</xdr:colOff>
      <xdr:row>145</xdr:row>
      <xdr:rowOff>104776</xdr:rowOff>
    </xdr:to>
    <xdr:cxnSp macro="">
      <xdr:nvCxnSpPr>
        <xdr:cNvPr id="33" name="Gewinkelte Verbindung 32"/>
        <xdr:cNvCxnSpPr/>
      </xdr:nvCxnSpPr>
      <xdr:spPr>
        <a:xfrm rot="5400000">
          <a:off x="1247777" y="25993724"/>
          <a:ext cx="1524000" cy="800103"/>
        </a:xfrm>
        <a:prstGeom prst="bentConnector3">
          <a:avLst>
            <a:gd name="adj1" fmla="val 100000"/>
          </a:avLst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1047750</xdr:colOff>
      <xdr:row>119</xdr:row>
      <xdr:rowOff>180973</xdr:rowOff>
    </xdr:from>
    <xdr:to>
      <xdr:col>9</xdr:col>
      <xdr:colOff>285750</xdr:colOff>
      <xdr:row>147</xdr:row>
      <xdr:rowOff>123824</xdr:rowOff>
    </xdr:to>
    <xdr:cxnSp macro="">
      <xdr:nvCxnSpPr>
        <xdr:cNvPr id="36" name="Gewinkelte Verbindung 35"/>
        <xdr:cNvCxnSpPr/>
      </xdr:nvCxnSpPr>
      <xdr:spPr>
        <a:xfrm rot="10800000" flipV="1">
          <a:off x="1857375" y="22850473"/>
          <a:ext cx="5924550" cy="5276851"/>
        </a:xfrm>
        <a:prstGeom prst="bentConnector3">
          <a:avLst>
            <a:gd name="adj1" fmla="val 63505"/>
          </a:avLst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1057275</xdr:colOff>
      <xdr:row>135</xdr:row>
      <xdr:rowOff>180973</xdr:rowOff>
    </xdr:from>
    <xdr:to>
      <xdr:col>8</xdr:col>
      <xdr:colOff>1047752</xdr:colOff>
      <xdr:row>148</xdr:row>
      <xdr:rowOff>28574</xdr:rowOff>
    </xdr:to>
    <xdr:cxnSp macro="">
      <xdr:nvCxnSpPr>
        <xdr:cNvPr id="42" name="Gewinkelte Verbindung 41"/>
        <xdr:cNvCxnSpPr/>
      </xdr:nvCxnSpPr>
      <xdr:spPr>
        <a:xfrm rot="10800000" flipV="1">
          <a:off x="1866900" y="25898473"/>
          <a:ext cx="5562602" cy="2324101"/>
        </a:xfrm>
        <a:prstGeom prst="bentConnector3">
          <a:avLst>
            <a:gd name="adj1" fmla="val 59760"/>
          </a:avLst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742950</xdr:colOff>
      <xdr:row>129</xdr:row>
      <xdr:rowOff>152400</xdr:rowOff>
    </xdr:from>
    <xdr:to>
      <xdr:col>12</xdr:col>
      <xdr:colOff>19050</xdr:colOff>
      <xdr:row>159</xdr:row>
      <xdr:rowOff>934</xdr:rowOff>
    </xdr:to>
    <xdr:pic>
      <xdr:nvPicPr>
        <xdr:cNvPr id="9" name="Grafik 8" descr="Physical_keyboard_layouts_comparison_ANSI_IS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81325" y="22440900"/>
          <a:ext cx="7077075" cy="5563534"/>
        </a:xfrm>
        <a:prstGeom prst="rect">
          <a:avLst/>
        </a:prstGeom>
      </xdr:spPr>
    </xdr:pic>
    <xdr:clientData/>
  </xdr:twoCellAnchor>
  <xdr:twoCellAnchor>
    <xdr:from>
      <xdr:col>5</xdr:col>
      <xdr:colOff>1095375</xdr:colOff>
      <xdr:row>153</xdr:row>
      <xdr:rowOff>104776</xdr:rowOff>
    </xdr:from>
    <xdr:to>
      <xdr:col>6</xdr:col>
      <xdr:colOff>781053</xdr:colOff>
      <xdr:row>161</xdr:row>
      <xdr:rowOff>104776</xdr:rowOff>
    </xdr:to>
    <xdr:cxnSp macro="">
      <xdr:nvCxnSpPr>
        <xdr:cNvPr id="3" name="Gewinkelte Verbindung 2"/>
        <xdr:cNvCxnSpPr/>
      </xdr:nvCxnSpPr>
      <xdr:spPr>
        <a:xfrm rot="5400000">
          <a:off x="2971802" y="27327224"/>
          <a:ext cx="1524000" cy="800103"/>
        </a:xfrm>
        <a:prstGeom prst="bentConnector3">
          <a:avLst>
            <a:gd name="adj1" fmla="val 100000"/>
          </a:avLst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1095375</xdr:colOff>
      <xdr:row>151</xdr:row>
      <xdr:rowOff>180971</xdr:rowOff>
    </xdr:from>
    <xdr:to>
      <xdr:col>10</xdr:col>
      <xdr:colOff>1019178</xdr:colOff>
      <xdr:row>165</xdr:row>
      <xdr:rowOff>104774</xdr:rowOff>
    </xdr:to>
    <xdr:cxnSp macro="">
      <xdr:nvCxnSpPr>
        <xdr:cNvPr id="5" name="Gewinkelte Verbindung 4"/>
        <xdr:cNvCxnSpPr/>
      </xdr:nvCxnSpPr>
      <xdr:spPr>
        <a:xfrm rot="10800000" flipV="1">
          <a:off x="3333750" y="26660471"/>
          <a:ext cx="5495928" cy="2590803"/>
        </a:xfrm>
        <a:prstGeom prst="bentConnector3">
          <a:avLst>
            <a:gd name="adj1" fmla="val 35789"/>
          </a:avLst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1047751</xdr:colOff>
      <xdr:row>135</xdr:row>
      <xdr:rowOff>180972</xdr:rowOff>
    </xdr:from>
    <xdr:to>
      <xdr:col>11</xdr:col>
      <xdr:colOff>257178</xdr:colOff>
      <xdr:row>163</xdr:row>
      <xdr:rowOff>76200</xdr:rowOff>
    </xdr:to>
    <xdr:cxnSp macro="">
      <xdr:nvCxnSpPr>
        <xdr:cNvPr id="4" name="Gewinkelte Verbindung 3"/>
        <xdr:cNvCxnSpPr/>
      </xdr:nvCxnSpPr>
      <xdr:spPr>
        <a:xfrm rot="10800000" flipV="1">
          <a:off x="3286126" y="23612472"/>
          <a:ext cx="5895977" cy="5229228"/>
        </a:xfrm>
        <a:prstGeom prst="bentConnector3">
          <a:avLst>
            <a:gd name="adj1" fmla="val 42407"/>
          </a:avLst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workbookViewId="0">
      <selection activeCell="J9" sqref="J9"/>
    </sheetView>
  </sheetViews>
  <sheetFormatPr baseColWidth="10" defaultRowHeight="15"/>
  <cols>
    <col min="1" max="1" width="2.7109375" customWidth="1"/>
    <col min="2" max="2" width="4.7109375" customWidth="1"/>
    <col min="3" max="10" width="8.7109375" style="1" customWidth="1"/>
    <col min="12" max="12" width="23.140625" customWidth="1"/>
  </cols>
  <sheetData>
    <row r="1" spans="1:17">
      <c r="A1" t="s">
        <v>0</v>
      </c>
    </row>
    <row r="2" spans="1:17">
      <c r="B2" s="3"/>
      <c r="C2" s="3">
        <v>7</v>
      </c>
      <c r="D2" s="3">
        <v>6</v>
      </c>
      <c r="E2" s="3">
        <v>4</v>
      </c>
      <c r="F2" s="3">
        <v>23</v>
      </c>
      <c r="G2" s="3">
        <v>22</v>
      </c>
      <c r="H2" s="3">
        <v>5</v>
      </c>
      <c r="I2" s="3">
        <v>19</v>
      </c>
      <c r="J2" s="3">
        <v>8</v>
      </c>
      <c r="L2" s="11" t="s">
        <v>82</v>
      </c>
      <c r="P2" s="1" t="s">
        <v>94</v>
      </c>
      <c r="Q2" s="1"/>
    </row>
    <row r="3" spans="1:17">
      <c r="B3" s="3">
        <v>10</v>
      </c>
      <c r="C3" s="4"/>
      <c r="D3" s="8" t="s">
        <v>4</v>
      </c>
      <c r="E3" s="8" t="s">
        <v>5</v>
      </c>
      <c r="F3" s="10" t="s">
        <v>6</v>
      </c>
      <c r="G3" s="4"/>
      <c r="H3" s="4"/>
      <c r="I3" s="4"/>
      <c r="J3" s="10" t="s">
        <v>7</v>
      </c>
      <c r="L3" s="12" t="s">
        <v>84</v>
      </c>
      <c r="P3" s="1"/>
      <c r="Q3" s="1"/>
    </row>
    <row r="4" spans="1:17">
      <c r="B4" s="3">
        <v>30</v>
      </c>
      <c r="C4" s="8" t="s">
        <v>8</v>
      </c>
      <c r="D4" s="4"/>
      <c r="E4" s="8" t="s">
        <v>9</v>
      </c>
      <c r="F4" s="8" t="s">
        <v>10</v>
      </c>
      <c r="G4" s="8" t="s">
        <v>11</v>
      </c>
      <c r="H4" s="4"/>
      <c r="I4" s="4"/>
      <c r="J4" s="8" t="s">
        <v>12</v>
      </c>
      <c r="L4" s="2" t="s">
        <v>83</v>
      </c>
      <c r="P4" s="1" t="s">
        <v>14</v>
      </c>
      <c r="Q4" s="13" t="s">
        <v>85</v>
      </c>
    </row>
    <row r="5" spans="1:17">
      <c r="B5" s="3">
        <v>24</v>
      </c>
      <c r="C5" s="8" t="s">
        <v>13</v>
      </c>
      <c r="D5" s="4"/>
      <c r="E5" s="8" t="s">
        <v>14</v>
      </c>
      <c r="F5" s="8" t="s">
        <v>15</v>
      </c>
      <c r="G5" s="4"/>
      <c r="H5" s="4"/>
      <c r="I5" s="4"/>
      <c r="J5" s="4"/>
      <c r="L5" s="14" t="s">
        <v>105</v>
      </c>
      <c r="P5" s="1" t="s">
        <v>62</v>
      </c>
      <c r="Q5" s="13" t="s">
        <v>86</v>
      </c>
    </row>
    <row r="6" spans="1:17">
      <c r="B6" s="3">
        <v>29</v>
      </c>
      <c r="C6" s="8" t="s">
        <v>16</v>
      </c>
      <c r="D6" s="9" t="s">
        <v>17</v>
      </c>
      <c r="E6" s="8" t="s">
        <v>18</v>
      </c>
      <c r="F6" s="8" t="s">
        <v>19</v>
      </c>
      <c r="G6" s="4"/>
      <c r="H6" s="9" t="s">
        <v>20</v>
      </c>
      <c r="I6" s="9" t="s">
        <v>21</v>
      </c>
      <c r="J6" s="4" t="s">
        <v>69</v>
      </c>
      <c r="P6" s="1"/>
      <c r="Q6" s="1" t="s">
        <v>87</v>
      </c>
    </row>
    <row r="7" spans="1:17">
      <c r="B7" s="3">
        <v>27</v>
      </c>
      <c r="C7" s="6" t="s">
        <v>23</v>
      </c>
      <c r="D7" s="8" t="s">
        <v>32</v>
      </c>
      <c r="E7" s="8">
        <v>0</v>
      </c>
      <c r="F7" s="6" t="s">
        <v>22</v>
      </c>
      <c r="G7" s="5" t="s">
        <v>3</v>
      </c>
      <c r="H7" s="6" t="s">
        <v>43</v>
      </c>
      <c r="I7" s="6" t="s">
        <v>33</v>
      </c>
      <c r="J7" s="6" t="s">
        <v>44</v>
      </c>
      <c r="P7" s="1"/>
      <c r="Q7" s="1"/>
    </row>
    <row r="8" spans="1:17">
      <c r="B8" s="3">
        <v>16</v>
      </c>
      <c r="C8" s="8" t="s">
        <v>64</v>
      </c>
      <c r="D8" s="8" t="s">
        <v>31</v>
      </c>
      <c r="E8" s="8">
        <v>9</v>
      </c>
      <c r="F8" s="4"/>
      <c r="G8" s="8" t="s">
        <v>52</v>
      </c>
      <c r="H8" s="8" t="s">
        <v>42</v>
      </c>
      <c r="I8" s="8" t="s">
        <v>63</v>
      </c>
      <c r="J8" s="4"/>
      <c r="Q8" s="1"/>
    </row>
    <row r="9" spans="1:17">
      <c r="B9" s="3">
        <v>9</v>
      </c>
      <c r="C9" s="8" t="s">
        <v>81</v>
      </c>
      <c r="D9" s="8" t="s">
        <v>77</v>
      </c>
      <c r="E9" s="8">
        <v>8</v>
      </c>
      <c r="F9" s="4"/>
      <c r="G9" s="8" t="s">
        <v>80</v>
      </c>
      <c r="H9" s="8" t="s">
        <v>78</v>
      </c>
      <c r="I9" s="7"/>
      <c r="J9" s="8" t="s">
        <v>79</v>
      </c>
      <c r="P9" t="s">
        <v>19</v>
      </c>
      <c r="Q9" s="1" t="s">
        <v>95</v>
      </c>
    </row>
    <row r="10" spans="1:17">
      <c r="B10" s="3">
        <v>26</v>
      </c>
      <c r="C10" s="8" t="s">
        <v>2</v>
      </c>
      <c r="D10" s="8" t="s">
        <v>24</v>
      </c>
      <c r="E10" s="8">
        <v>1</v>
      </c>
      <c r="F10" s="4"/>
      <c r="G10" s="6" t="s">
        <v>45</v>
      </c>
      <c r="H10" s="8" t="s">
        <v>35</v>
      </c>
      <c r="I10" s="8" t="s">
        <v>70</v>
      </c>
      <c r="J10" s="8" t="s">
        <v>57</v>
      </c>
      <c r="P10" t="s">
        <v>15</v>
      </c>
      <c r="Q10" s="1" t="s">
        <v>90</v>
      </c>
    </row>
    <row r="11" spans="1:17">
      <c r="B11" s="3">
        <v>28</v>
      </c>
      <c r="C11" s="4"/>
      <c r="D11" s="4"/>
      <c r="E11" s="4"/>
      <c r="F11" s="4"/>
      <c r="G11" s="10" t="s">
        <v>71</v>
      </c>
      <c r="H11" s="4"/>
      <c r="I11" s="10" t="s">
        <v>72</v>
      </c>
      <c r="J11" s="4"/>
      <c r="P11" t="s">
        <v>10</v>
      </c>
      <c r="Q11" s="1" t="s">
        <v>91</v>
      </c>
    </row>
    <row r="12" spans="1:17">
      <c r="B12" s="3">
        <v>32</v>
      </c>
      <c r="C12" s="10" t="s">
        <v>53</v>
      </c>
      <c r="D12" s="4"/>
      <c r="E12" s="4"/>
      <c r="F12" s="4"/>
      <c r="G12" s="10" t="s">
        <v>56</v>
      </c>
      <c r="H12" s="4"/>
      <c r="I12" s="4"/>
      <c r="J12" s="4"/>
      <c r="P12" t="s">
        <v>12</v>
      </c>
      <c r="Q12" s="1" t="s">
        <v>92</v>
      </c>
    </row>
    <row r="13" spans="1:17">
      <c r="B13" s="3">
        <v>31</v>
      </c>
      <c r="C13" s="8" t="s">
        <v>58</v>
      </c>
      <c r="D13" s="8" t="s">
        <v>25</v>
      </c>
      <c r="E13" s="8">
        <v>2</v>
      </c>
      <c r="F13" s="4"/>
      <c r="G13" s="8" t="s">
        <v>46</v>
      </c>
      <c r="H13" s="8" t="s">
        <v>36</v>
      </c>
      <c r="I13" s="8" t="s">
        <v>73</v>
      </c>
      <c r="J13" s="5" t="s">
        <v>1</v>
      </c>
      <c r="Q13" s="1"/>
    </row>
    <row r="14" spans="1:17">
      <c r="B14" s="3">
        <v>17</v>
      </c>
      <c r="C14" s="8" t="s">
        <v>59</v>
      </c>
      <c r="D14" s="8" t="s">
        <v>26</v>
      </c>
      <c r="E14" s="8">
        <v>3</v>
      </c>
      <c r="F14" s="4"/>
      <c r="G14" s="8" t="s">
        <v>47</v>
      </c>
      <c r="H14" s="8" t="s">
        <v>37</v>
      </c>
      <c r="I14" s="8" t="s">
        <v>60</v>
      </c>
      <c r="J14" s="8" t="s">
        <v>62</v>
      </c>
      <c r="P14" t="s">
        <v>65</v>
      </c>
      <c r="Q14" s="1" t="s">
        <v>93</v>
      </c>
    </row>
    <row r="15" spans="1:17">
      <c r="B15" s="3">
        <v>25</v>
      </c>
      <c r="C15" s="8">
        <v>5</v>
      </c>
      <c r="D15" s="8" t="s">
        <v>27</v>
      </c>
      <c r="E15" s="8">
        <v>4</v>
      </c>
      <c r="F15" s="8" t="s">
        <v>49</v>
      </c>
      <c r="G15" s="8" t="s">
        <v>48</v>
      </c>
      <c r="H15" s="8" t="s">
        <v>38</v>
      </c>
      <c r="I15" s="8" t="s">
        <v>28</v>
      </c>
      <c r="J15" s="8" t="s">
        <v>39</v>
      </c>
      <c r="P15" s="1"/>
      <c r="Q15" s="1"/>
    </row>
    <row r="16" spans="1:17">
      <c r="B16" s="3">
        <v>33</v>
      </c>
      <c r="C16" s="8" t="s">
        <v>65</v>
      </c>
      <c r="D16" s="4"/>
      <c r="E16" s="8" t="s">
        <v>66</v>
      </c>
      <c r="F16" s="8" t="s">
        <v>54</v>
      </c>
      <c r="G16" s="8" t="s">
        <v>34</v>
      </c>
      <c r="H16" s="7" t="s">
        <v>104</v>
      </c>
      <c r="I16" s="8" t="s">
        <v>68</v>
      </c>
      <c r="J16" s="8" t="s">
        <v>61</v>
      </c>
      <c r="O16" t="s">
        <v>101</v>
      </c>
      <c r="P16" s="1"/>
      <c r="Q16" s="1" t="s">
        <v>96</v>
      </c>
    </row>
    <row r="17" spans="2:17">
      <c r="B17" s="3">
        <v>15</v>
      </c>
      <c r="C17" s="8">
        <v>6</v>
      </c>
      <c r="D17" s="8" t="s">
        <v>30</v>
      </c>
      <c r="E17" s="8">
        <v>7</v>
      </c>
      <c r="F17" s="8" t="s">
        <v>50</v>
      </c>
      <c r="G17" s="8" t="s">
        <v>51</v>
      </c>
      <c r="H17" s="8" t="s">
        <v>41</v>
      </c>
      <c r="I17" s="6" t="s">
        <v>29</v>
      </c>
      <c r="J17" s="8" t="s">
        <v>40</v>
      </c>
      <c r="O17" t="s">
        <v>102</v>
      </c>
      <c r="P17" s="1"/>
      <c r="Q17" s="1" t="s">
        <v>97</v>
      </c>
    </row>
    <row r="18" spans="2:17">
      <c r="B18" s="3">
        <v>14</v>
      </c>
      <c r="C18" s="8" t="s">
        <v>67</v>
      </c>
      <c r="D18" s="10" t="s">
        <v>124</v>
      </c>
      <c r="E18" s="8" t="s">
        <v>74</v>
      </c>
      <c r="F18" s="9" t="s">
        <v>75</v>
      </c>
      <c r="G18" s="9" t="s">
        <v>76</v>
      </c>
      <c r="H18" s="8" t="s">
        <v>55</v>
      </c>
      <c r="I18" s="4"/>
      <c r="J18" s="4"/>
      <c r="O18" t="s">
        <v>103</v>
      </c>
      <c r="P18" s="1"/>
      <c r="Q18" s="1" t="s">
        <v>98</v>
      </c>
    </row>
    <row r="19" spans="2:17">
      <c r="P19" s="1"/>
      <c r="Q19" s="1" t="s">
        <v>99</v>
      </c>
    </row>
    <row r="20" spans="2:17">
      <c r="P20" s="1"/>
      <c r="Q20" s="1" t="s">
        <v>100</v>
      </c>
    </row>
    <row r="21" spans="2:17">
      <c r="B21" t="s">
        <v>106</v>
      </c>
      <c r="P21" s="1"/>
      <c r="Q21" s="1" t="s">
        <v>88</v>
      </c>
    </row>
    <row r="22" spans="2:17">
      <c r="B22" s="3"/>
      <c r="C22" s="3">
        <v>7</v>
      </c>
      <c r="D22" s="3">
        <v>6</v>
      </c>
      <c r="E22" s="3">
        <v>4</v>
      </c>
      <c r="F22" s="3">
        <v>23</v>
      </c>
      <c r="G22" s="3">
        <v>22</v>
      </c>
      <c r="H22" s="3">
        <v>5</v>
      </c>
      <c r="I22" s="3">
        <v>19</v>
      </c>
      <c r="J22" s="3">
        <v>8</v>
      </c>
      <c r="P22" s="1"/>
      <c r="Q22" s="1" t="s">
        <v>89</v>
      </c>
    </row>
    <row r="23" spans="2:17">
      <c r="B23" s="3">
        <v>10</v>
      </c>
      <c r="C23" s="4"/>
      <c r="D23" s="8" t="s">
        <v>110</v>
      </c>
      <c r="E23" s="8" t="s">
        <v>111</v>
      </c>
      <c r="F23" s="16"/>
      <c r="G23" s="15"/>
      <c r="H23" s="15"/>
      <c r="I23" s="15"/>
      <c r="J23" s="16"/>
    </row>
    <row r="24" spans="2:17">
      <c r="B24" s="3">
        <v>30</v>
      </c>
      <c r="C24" s="8" t="s">
        <v>107</v>
      </c>
      <c r="D24" s="4"/>
      <c r="E24" s="8" t="s">
        <v>108</v>
      </c>
      <c r="F24" s="18" t="s">
        <v>113</v>
      </c>
      <c r="G24" s="8"/>
      <c r="H24" s="4"/>
      <c r="I24" s="4"/>
      <c r="J24" s="18" t="s">
        <v>115</v>
      </c>
    </row>
    <row r="25" spans="2:17">
      <c r="B25" s="3">
        <v>24</v>
      </c>
      <c r="C25" s="15"/>
      <c r="D25" s="4"/>
      <c r="E25" s="18" t="s">
        <v>117</v>
      </c>
      <c r="F25" s="18" t="s">
        <v>112</v>
      </c>
      <c r="G25" s="4"/>
      <c r="H25" s="15"/>
      <c r="I25" s="15"/>
      <c r="J25" s="4"/>
    </row>
    <row r="26" spans="2:17">
      <c r="B26" s="3">
        <v>29</v>
      </c>
      <c r="C26" s="15"/>
      <c r="D26" s="15"/>
      <c r="E26" s="8" t="s">
        <v>18</v>
      </c>
      <c r="F26" s="18" t="s">
        <v>114</v>
      </c>
      <c r="G26" s="4"/>
      <c r="H26" s="15"/>
      <c r="I26" s="15"/>
      <c r="J26" s="4"/>
    </row>
    <row r="27" spans="2:17">
      <c r="B27" s="3">
        <v>27</v>
      </c>
      <c r="C27" s="15"/>
      <c r="D27" s="15"/>
      <c r="E27" s="15"/>
      <c r="F27" s="15"/>
      <c r="G27" s="15"/>
      <c r="H27" s="15"/>
      <c r="I27" s="15"/>
      <c r="J27" s="15"/>
    </row>
    <row r="28" spans="2:17">
      <c r="B28" s="3">
        <v>16</v>
      </c>
      <c r="C28" s="8" t="s">
        <v>122</v>
      </c>
      <c r="D28" s="15"/>
      <c r="E28" s="15"/>
      <c r="F28" s="15"/>
      <c r="G28" s="15"/>
      <c r="H28" s="15"/>
      <c r="I28" s="8" t="s">
        <v>119</v>
      </c>
      <c r="J28" s="4"/>
    </row>
    <row r="29" spans="2:17">
      <c r="B29" s="3">
        <v>9</v>
      </c>
      <c r="C29" s="15"/>
      <c r="D29" s="15"/>
      <c r="E29" s="15"/>
      <c r="F29" s="15"/>
      <c r="G29" s="15"/>
      <c r="H29" s="15"/>
      <c r="I29" s="15"/>
      <c r="J29" s="8" t="s">
        <v>79</v>
      </c>
    </row>
    <row r="30" spans="2:17">
      <c r="B30" s="3">
        <v>26</v>
      </c>
      <c r="C30" s="15"/>
      <c r="D30" s="15"/>
      <c r="E30" s="15"/>
      <c r="F30" s="15"/>
      <c r="G30" s="15"/>
      <c r="H30" s="15"/>
      <c r="I30" s="15"/>
      <c r="J30" s="15"/>
    </row>
    <row r="31" spans="2:17">
      <c r="B31" s="3">
        <v>28</v>
      </c>
      <c r="C31" s="15"/>
      <c r="D31" s="15"/>
      <c r="E31" s="15"/>
      <c r="F31" s="15"/>
      <c r="G31" s="16"/>
      <c r="H31" s="15"/>
      <c r="I31" s="16"/>
      <c r="J31" s="4"/>
    </row>
    <row r="32" spans="2:17">
      <c r="B32" s="3">
        <v>32</v>
      </c>
      <c r="C32" s="16"/>
      <c r="D32" s="15"/>
      <c r="E32" s="15"/>
      <c r="F32" s="15"/>
      <c r="G32" s="16"/>
      <c r="H32" s="15"/>
      <c r="I32" s="15"/>
      <c r="J32" s="4"/>
    </row>
    <row r="33" spans="2:10">
      <c r="B33" s="3">
        <v>31</v>
      </c>
      <c r="C33" s="8" t="s">
        <v>58</v>
      </c>
      <c r="D33" s="15"/>
      <c r="E33" s="15"/>
      <c r="F33" s="15"/>
      <c r="G33" s="15"/>
      <c r="H33" s="15"/>
      <c r="I33" s="15"/>
      <c r="J33" s="15"/>
    </row>
    <row r="34" spans="2:10">
      <c r="B34" s="3">
        <v>17</v>
      </c>
      <c r="C34" s="8" t="s">
        <v>121</v>
      </c>
      <c r="D34" s="15"/>
      <c r="E34" s="15"/>
      <c r="F34" s="15"/>
      <c r="G34" s="15"/>
      <c r="H34" s="15"/>
      <c r="I34" s="8" t="s">
        <v>123</v>
      </c>
      <c r="J34" s="17" t="s">
        <v>116</v>
      </c>
    </row>
    <row r="35" spans="2:10">
      <c r="B35" s="3">
        <v>25</v>
      </c>
      <c r="C35" s="15"/>
      <c r="D35" s="15"/>
      <c r="E35" s="15"/>
      <c r="F35" s="15"/>
      <c r="G35" s="15"/>
      <c r="H35" s="15"/>
      <c r="I35" s="15"/>
      <c r="J35" s="15"/>
    </row>
    <row r="36" spans="2:10">
      <c r="B36" s="3">
        <v>33</v>
      </c>
      <c r="C36" s="8" t="s">
        <v>118</v>
      </c>
      <c r="D36" s="15"/>
      <c r="E36" s="8" t="s">
        <v>66</v>
      </c>
      <c r="F36" s="15"/>
      <c r="G36" s="15"/>
      <c r="H36" s="15"/>
      <c r="I36" s="15"/>
      <c r="J36" s="8" t="s">
        <v>120</v>
      </c>
    </row>
    <row r="37" spans="2:10">
      <c r="B37" s="3">
        <v>15</v>
      </c>
      <c r="C37" s="15"/>
      <c r="D37" s="15"/>
      <c r="E37" s="15"/>
      <c r="F37" s="15"/>
      <c r="G37" s="15"/>
      <c r="H37" s="15"/>
      <c r="I37" s="15"/>
      <c r="J37" s="15"/>
    </row>
    <row r="38" spans="2:10">
      <c r="B38" s="3">
        <v>14</v>
      </c>
      <c r="C38" s="8" t="s">
        <v>109</v>
      </c>
      <c r="D38" s="16"/>
      <c r="E38" s="15"/>
      <c r="F38" s="4"/>
      <c r="G38" s="4"/>
      <c r="H38" s="15"/>
      <c r="I38" s="4"/>
      <c r="J38" s="4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2:M194"/>
  <sheetViews>
    <sheetView topLeftCell="A22" zoomScaleNormal="100" workbookViewId="0">
      <selection activeCell="D60" sqref="D60"/>
    </sheetView>
  </sheetViews>
  <sheetFormatPr baseColWidth="10" defaultRowHeight="15"/>
  <cols>
    <col min="1" max="1" width="2.7109375" customWidth="1"/>
    <col min="2" max="3" width="4.7109375" customWidth="1"/>
    <col min="4" max="11" width="16.7109375" customWidth="1"/>
    <col min="12" max="12" width="5.7109375" customWidth="1"/>
    <col min="13" max="13" width="19.28515625" customWidth="1"/>
  </cols>
  <sheetData>
    <row r="2" spans="2:13">
      <c r="B2" s="62" t="s">
        <v>212</v>
      </c>
      <c r="C2" s="62"/>
      <c r="D2" s="63"/>
      <c r="E2" s="1"/>
      <c r="F2" s="1"/>
      <c r="G2" s="1"/>
      <c r="H2" s="1"/>
      <c r="I2" s="1"/>
      <c r="J2" s="1"/>
      <c r="K2" s="1"/>
    </row>
    <row r="3" spans="2:13">
      <c r="B3" s="104" t="s">
        <v>331</v>
      </c>
      <c r="C3" s="43"/>
      <c r="D3" s="43"/>
      <c r="E3" s="43">
        <v>6</v>
      </c>
      <c r="F3" s="43">
        <v>4</v>
      </c>
      <c r="G3" s="43">
        <v>23</v>
      </c>
      <c r="H3" s="43">
        <v>22</v>
      </c>
      <c r="I3" s="43">
        <v>5</v>
      </c>
      <c r="J3" s="43">
        <v>19</v>
      </c>
      <c r="K3" s="44">
        <v>8</v>
      </c>
      <c r="M3" s="44" t="s">
        <v>239</v>
      </c>
    </row>
    <row r="4" spans="2:13">
      <c r="B4" s="101"/>
      <c r="C4" s="105" t="s">
        <v>332</v>
      </c>
      <c r="D4" s="102"/>
      <c r="E4" s="102">
        <v>9</v>
      </c>
      <c r="F4" s="102">
        <v>13</v>
      </c>
      <c r="G4" s="102">
        <v>17</v>
      </c>
      <c r="H4" s="102">
        <v>15</v>
      </c>
      <c r="I4" s="102">
        <v>11</v>
      </c>
      <c r="J4" s="102">
        <v>7</v>
      </c>
      <c r="K4" s="103">
        <v>3</v>
      </c>
      <c r="M4" s="44"/>
    </row>
    <row r="5" spans="2:13">
      <c r="B5" s="140">
        <v>10</v>
      </c>
      <c r="C5" s="126">
        <v>32</v>
      </c>
      <c r="D5" s="21"/>
      <c r="E5" s="22" t="s">
        <v>152</v>
      </c>
      <c r="F5" s="22" t="s">
        <v>153</v>
      </c>
      <c r="G5" s="23" t="s">
        <v>142</v>
      </c>
      <c r="H5" s="24"/>
      <c r="I5" s="24"/>
      <c r="J5" s="24"/>
      <c r="K5" s="23" t="s">
        <v>143</v>
      </c>
      <c r="M5" s="138" t="s">
        <v>82</v>
      </c>
    </row>
    <row r="6" spans="2:13">
      <c r="B6" s="140"/>
      <c r="C6" s="126"/>
      <c r="D6" s="21"/>
      <c r="E6" s="22"/>
      <c r="F6" s="22"/>
      <c r="G6" s="23"/>
      <c r="H6" s="24"/>
      <c r="I6" s="24"/>
      <c r="J6" s="24"/>
      <c r="K6" s="23"/>
      <c r="M6" s="138"/>
    </row>
    <row r="7" spans="2:13">
      <c r="B7" s="140">
        <v>30</v>
      </c>
      <c r="C7" s="126">
        <v>28</v>
      </c>
      <c r="D7" s="19" t="s">
        <v>8</v>
      </c>
      <c r="E7" s="26"/>
      <c r="F7" s="25" t="s">
        <v>9</v>
      </c>
      <c r="G7" s="25" t="s">
        <v>159</v>
      </c>
      <c r="H7" s="25" t="s">
        <v>11</v>
      </c>
      <c r="I7" s="26"/>
      <c r="J7" s="26"/>
      <c r="K7" s="25" t="s">
        <v>162</v>
      </c>
      <c r="M7" s="139" t="s">
        <v>84</v>
      </c>
    </row>
    <row r="8" spans="2:13">
      <c r="B8" s="140"/>
      <c r="C8" s="126"/>
      <c r="D8" s="20"/>
      <c r="E8" s="28"/>
      <c r="F8" s="27"/>
      <c r="G8" s="27"/>
      <c r="H8" s="27"/>
      <c r="I8" s="28"/>
      <c r="J8" s="28"/>
      <c r="K8" s="27"/>
      <c r="M8" s="139"/>
    </row>
    <row r="9" spans="2:13">
      <c r="B9" s="140">
        <v>24</v>
      </c>
      <c r="C9" s="126">
        <v>20</v>
      </c>
      <c r="D9" s="29" t="s">
        <v>157</v>
      </c>
      <c r="E9" s="24"/>
      <c r="F9" s="22" t="s">
        <v>14</v>
      </c>
      <c r="G9" s="22" t="s">
        <v>160</v>
      </c>
      <c r="H9" s="24"/>
      <c r="I9" s="24"/>
      <c r="J9" s="24"/>
      <c r="K9" s="24"/>
      <c r="M9" s="136" t="s">
        <v>83</v>
      </c>
    </row>
    <row r="10" spans="2:13">
      <c r="B10" s="140"/>
      <c r="C10" s="126"/>
      <c r="D10" s="29"/>
      <c r="E10" s="24"/>
      <c r="F10" s="22"/>
      <c r="G10" s="22"/>
      <c r="H10" s="24"/>
      <c r="I10" s="24"/>
      <c r="J10" s="24"/>
      <c r="K10" s="24"/>
      <c r="M10" s="136"/>
    </row>
    <row r="11" spans="2:13">
      <c r="B11" s="140">
        <v>29</v>
      </c>
      <c r="C11" s="126">
        <v>16</v>
      </c>
      <c r="D11" s="19" t="s">
        <v>158</v>
      </c>
      <c r="E11" s="30" t="s">
        <v>154</v>
      </c>
      <c r="F11" s="25" t="s">
        <v>18</v>
      </c>
      <c r="G11" s="25" t="s">
        <v>161</v>
      </c>
      <c r="H11" s="26"/>
      <c r="I11" s="30" t="s">
        <v>20</v>
      </c>
      <c r="J11" s="30" t="s">
        <v>155</v>
      </c>
      <c r="K11" s="134" t="s">
        <v>156</v>
      </c>
      <c r="M11" s="137" t="s">
        <v>105</v>
      </c>
    </row>
    <row r="12" spans="2:13">
      <c r="B12" s="140"/>
      <c r="C12" s="126"/>
      <c r="D12" s="20"/>
      <c r="E12" s="31"/>
      <c r="F12" s="27"/>
      <c r="G12" s="27"/>
      <c r="H12" s="28"/>
      <c r="I12" s="31"/>
      <c r="J12" s="31"/>
      <c r="K12" s="135"/>
      <c r="M12" s="137"/>
    </row>
    <row r="13" spans="2:13">
      <c r="B13" s="140">
        <v>27</v>
      </c>
      <c r="C13" s="126">
        <v>12</v>
      </c>
      <c r="D13" s="32" t="s">
        <v>218</v>
      </c>
      <c r="E13" s="22" t="s">
        <v>32</v>
      </c>
      <c r="F13" s="22">
        <v>0</v>
      </c>
      <c r="G13" s="33" t="s">
        <v>217</v>
      </c>
      <c r="H13" s="34" t="s">
        <v>234</v>
      </c>
      <c r="I13" s="33" t="s">
        <v>216</v>
      </c>
      <c r="J13" s="33" t="s">
        <v>215</v>
      </c>
      <c r="K13" s="33" t="s">
        <v>214</v>
      </c>
      <c r="M13" s="128" t="s">
        <v>330</v>
      </c>
    </row>
    <row r="14" spans="2:13">
      <c r="B14" s="140"/>
      <c r="C14" s="126"/>
      <c r="D14" s="32" t="s">
        <v>128</v>
      </c>
      <c r="E14" s="22"/>
      <c r="F14" s="22"/>
      <c r="G14" s="33" t="s">
        <v>127</v>
      </c>
      <c r="H14" s="34" t="s">
        <v>126</v>
      </c>
      <c r="I14" s="33" t="s">
        <v>129</v>
      </c>
      <c r="J14" s="33" t="s">
        <v>130</v>
      </c>
      <c r="K14" s="33" t="s">
        <v>131</v>
      </c>
      <c r="M14" s="129"/>
    </row>
    <row r="15" spans="2:13">
      <c r="B15" s="140">
        <v>16</v>
      </c>
      <c r="C15" s="126">
        <v>8</v>
      </c>
      <c r="D15" s="19" t="s">
        <v>64</v>
      </c>
      <c r="E15" s="25" t="s">
        <v>31</v>
      </c>
      <c r="F15" s="25">
        <v>9</v>
      </c>
      <c r="G15" s="26"/>
      <c r="H15" s="25" t="s">
        <v>52</v>
      </c>
      <c r="I15" s="25" t="s">
        <v>42</v>
      </c>
      <c r="J15" s="25" t="s">
        <v>63</v>
      </c>
      <c r="K15" s="26"/>
      <c r="M15" s="130" t="s">
        <v>209</v>
      </c>
    </row>
    <row r="16" spans="2:13">
      <c r="B16" s="140"/>
      <c r="C16" s="126"/>
      <c r="D16" s="20"/>
      <c r="E16" s="27"/>
      <c r="F16" s="27"/>
      <c r="G16" s="28"/>
      <c r="H16" s="27" t="s">
        <v>132</v>
      </c>
      <c r="I16" s="27"/>
      <c r="J16" s="27"/>
      <c r="K16" s="28"/>
      <c r="M16" s="131"/>
    </row>
    <row r="17" spans="2:13">
      <c r="B17" s="140">
        <v>9</v>
      </c>
      <c r="C17" s="126">
        <v>4</v>
      </c>
      <c r="D17" s="29" t="s">
        <v>81</v>
      </c>
      <c r="E17" s="22" t="s">
        <v>77</v>
      </c>
      <c r="F17" s="22">
        <v>8</v>
      </c>
      <c r="G17" s="24"/>
      <c r="H17" s="22" t="s">
        <v>80</v>
      </c>
      <c r="I17" s="22" t="s">
        <v>78</v>
      </c>
      <c r="J17" s="22" t="s">
        <v>207</v>
      </c>
      <c r="K17" s="22" t="s">
        <v>79</v>
      </c>
      <c r="M17" s="132" t="s">
        <v>193</v>
      </c>
    </row>
    <row r="18" spans="2:13">
      <c r="B18" s="140"/>
      <c r="C18" s="126"/>
      <c r="D18" s="29" t="s">
        <v>133</v>
      </c>
      <c r="E18" s="22"/>
      <c r="F18" s="22"/>
      <c r="G18" s="24"/>
      <c r="H18" s="22" t="s">
        <v>134</v>
      </c>
      <c r="I18" s="22"/>
      <c r="J18" s="22" t="s">
        <v>135</v>
      </c>
      <c r="K18" s="22"/>
      <c r="M18" s="132"/>
    </row>
    <row r="19" spans="2:13">
      <c r="B19" s="140">
        <v>26</v>
      </c>
      <c r="C19" s="126">
        <v>22</v>
      </c>
      <c r="D19" s="19" t="s">
        <v>2</v>
      </c>
      <c r="E19" s="25" t="s">
        <v>24</v>
      </c>
      <c r="F19" s="25">
        <v>1</v>
      </c>
      <c r="G19" s="26"/>
      <c r="H19" s="35" t="s">
        <v>208</v>
      </c>
      <c r="I19" s="25" t="s">
        <v>35</v>
      </c>
      <c r="J19" s="25" t="s">
        <v>70</v>
      </c>
      <c r="K19" s="25" t="s">
        <v>179</v>
      </c>
    </row>
    <row r="20" spans="2:13">
      <c r="B20" s="140"/>
      <c r="C20" s="126"/>
      <c r="D20" s="20" t="s">
        <v>136</v>
      </c>
      <c r="E20" s="27"/>
      <c r="F20" s="27"/>
      <c r="G20" s="28"/>
      <c r="H20" s="36" t="s">
        <v>137</v>
      </c>
      <c r="I20" s="27"/>
      <c r="J20" s="27"/>
      <c r="K20" s="27"/>
    </row>
    <row r="21" spans="2:13">
      <c r="B21" s="140">
        <v>28</v>
      </c>
      <c r="C21" s="126">
        <v>26</v>
      </c>
      <c r="D21" s="21"/>
      <c r="E21" s="24"/>
      <c r="F21" s="24"/>
      <c r="G21" s="24"/>
      <c r="H21" s="23" t="s">
        <v>138</v>
      </c>
      <c r="I21" s="24"/>
      <c r="J21" s="23" t="s">
        <v>139</v>
      </c>
      <c r="K21" s="24"/>
    </row>
    <row r="22" spans="2:13">
      <c r="B22" s="140"/>
      <c r="C22" s="126"/>
      <c r="D22" s="21"/>
      <c r="E22" s="24"/>
      <c r="F22" s="24"/>
      <c r="G22" s="24"/>
      <c r="H22" s="23"/>
      <c r="I22" s="24"/>
      <c r="J22" s="23"/>
      <c r="K22" s="24"/>
      <c r="M22" s="71" t="s">
        <v>235</v>
      </c>
    </row>
    <row r="23" spans="2:13">
      <c r="B23" s="140">
        <v>32</v>
      </c>
      <c r="C23" s="126">
        <v>30</v>
      </c>
      <c r="D23" s="41" t="s">
        <v>141</v>
      </c>
      <c r="E23" s="26"/>
      <c r="F23" s="26"/>
      <c r="G23" s="26"/>
      <c r="H23" s="37" t="s">
        <v>140</v>
      </c>
      <c r="I23" s="26"/>
      <c r="J23" s="26"/>
      <c r="K23" s="26"/>
      <c r="M23" s="71" t="s">
        <v>236</v>
      </c>
    </row>
    <row r="24" spans="2:13">
      <c r="B24" s="140"/>
      <c r="C24" s="126"/>
      <c r="D24" s="42"/>
      <c r="E24" s="28"/>
      <c r="F24" s="28"/>
      <c r="G24" s="28"/>
      <c r="H24" s="38"/>
      <c r="I24" s="28"/>
      <c r="J24" s="28"/>
      <c r="K24" s="28"/>
      <c r="M24" s="71" t="s">
        <v>326</v>
      </c>
    </row>
    <row r="25" spans="2:13">
      <c r="B25" s="140">
        <v>31</v>
      </c>
      <c r="C25" s="126">
        <v>18</v>
      </c>
      <c r="D25" s="29" t="s">
        <v>58</v>
      </c>
      <c r="E25" s="22" t="s">
        <v>25</v>
      </c>
      <c r="F25" s="22">
        <v>2</v>
      </c>
      <c r="G25" s="24"/>
      <c r="H25" s="22" t="s">
        <v>46</v>
      </c>
      <c r="I25" s="22" t="s">
        <v>36</v>
      </c>
      <c r="J25" s="22" t="s">
        <v>180</v>
      </c>
      <c r="K25" s="34" t="s">
        <v>233</v>
      </c>
      <c r="M25" s="71" t="s">
        <v>327</v>
      </c>
    </row>
    <row r="26" spans="2:13">
      <c r="B26" s="140"/>
      <c r="C26" s="126"/>
      <c r="D26" s="29"/>
      <c r="E26" s="22"/>
      <c r="F26" s="22"/>
      <c r="G26" s="24"/>
      <c r="H26" s="22"/>
      <c r="I26" s="22"/>
      <c r="J26" s="22"/>
      <c r="K26" s="34" t="s">
        <v>144</v>
      </c>
      <c r="M26" s="71" t="s">
        <v>237</v>
      </c>
    </row>
    <row r="27" spans="2:13">
      <c r="B27" s="140">
        <v>17</v>
      </c>
      <c r="C27" s="126">
        <v>14</v>
      </c>
      <c r="D27" s="19" t="s">
        <v>59</v>
      </c>
      <c r="E27" s="25" t="s">
        <v>26</v>
      </c>
      <c r="F27" s="25">
        <v>3</v>
      </c>
      <c r="G27" s="26"/>
      <c r="H27" s="25" t="s">
        <v>47</v>
      </c>
      <c r="I27" s="25" t="s">
        <v>37</v>
      </c>
      <c r="J27" s="25" t="s">
        <v>60</v>
      </c>
      <c r="K27" s="25" t="s">
        <v>62</v>
      </c>
      <c r="M27" s="71" t="s">
        <v>238</v>
      </c>
    </row>
    <row r="28" spans="2:13">
      <c r="B28" s="140"/>
      <c r="C28" s="126"/>
      <c r="D28" s="20"/>
      <c r="E28" s="27"/>
      <c r="F28" s="27"/>
      <c r="G28" s="28"/>
      <c r="H28" s="27"/>
      <c r="I28" s="27"/>
      <c r="J28" s="27"/>
      <c r="K28" s="27"/>
    </row>
    <row r="29" spans="2:13">
      <c r="B29" s="140">
        <v>25</v>
      </c>
      <c r="C29" s="126">
        <v>10</v>
      </c>
      <c r="D29" s="29">
        <v>5</v>
      </c>
      <c r="E29" s="22" t="s">
        <v>27</v>
      </c>
      <c r="F29" s="22">
        <v>4</v>
      </c>
      <c r="G29" s="22" t="s">
        <v>49</v>
      </c>
      <c r="H29" s="22" t="s">
        <v>48</v>
      </c>
      <c r="I29" s="22" t="s">
        <v>38</v>
      </c>
      <c r="J29" s="22" t="s">
        <v>28</v>
      </c>
      <c r="K29" s="22" t="s">
        <v>39</v>
      </c>
    </row>
    <row r="30" spans="2:13">
      <c r="B30" s="140"/>
      <c r="C30" s="126"/>
      <c r="D30" s="29"/>
      <c r="E30" s="22"/>
      <c r="F30" s="22"/>
      <c r="G30" s="22"/>
      <c r="H30" s="22"/>
      <c r="I30" s="22"/>
      <c r="J30" s="22"/>
      <c r="K30" s="22"/>
    </row>
    <row r="31" spans="2:13">
      <c r="B31" s="140">
        <v>33</v>
      </c>
      <c r="C31" s="126">
        <v>6</v>
      </c>
      <c r="D31" s="19" t="s">
        <v>65</v>
      </c>
      <c r="E31" s="26"/>
      <c r="F31" s="25" t="s">
        <v>66</v>
      </c>
      <c r="G31" s="25" t="s">
        <v>54</v>
      </c>
      <c r="H31" s="25" t="s">
        <v>34</v>
      </c>
      <c r="I31" s="39" t="s">
        <v>104</v>
      </c>
      <c r="J31" s="25" t="s">
        <v>163</v>
      </c>
      <c r="K31" s="25" t="s">
        <v>61</v>
      </c>
    </row>
    <row r="32" spans="2:13">
      <c r="B32" s="140"/>
      <c r="C32" s="126"/>
      <c r="D32" s="20"/>
      <c r="E32" s="28"/>
      <c r="F32" s="27"/>
      <c r="G32" s="27"/>
      <c r="H32" s="27"/>
      <c r="I32" s="40" t="s">
        <v>126</v>
      </c>
      <c r="J32" s="27"/>
      <c r="K32" s="27"/>
    </row>
    <row r="33" spans="2:13">
      <c r="B33" s="140">
        <v>15</v>
      </c>
      <c r="C33" s="126">
        <v>2</v>
      </c>
      <c r="D33" s="29">
        <v>6</v>
      </c>
      <c r="E33" s="22" t="s">
        <v>30</v>
      </c>
      <c r="F33" s="22">
        <v>7</v>
      </c>
      <c r="G33" s="22" t="s">
        <v>50</v>
      </c>
      <c r="H33" s="22" t="s">
        <v>51</v>
      </c>
      <c r="I33" s="22" t="s">
        <v>41</v>
      </c>
      <c r="J33" s="33" t="s">
        <v>219</v>
      </c>
      <c r="K33" s="22" t="s">
        <v>40</v>
      </c>
    </row>
    <row r="34" spans="2:13">
      <c r="B34" s="140"/>
      <c r="C34" s="126"/>
      <c r="D34" s="29"/>
      <c r="E34" s="22"/>
      <c r="F34" s="22"/>
      <c r="G34" s="22"/>
      <c r="H34" s="22"/>
      <c r="I34" s="22"/>
      <c r="J34" s="33" t="s">
        <v>145</v>
      </c>
      <c r="K34" s="22"/>
    </row>
    <row r="35" spans="2:13">
      <c r="B35" s="140">
        <v>14</v>
      </c>
      <c r="C35" s="126">
        <v>24</v>
      </c>
      <c r="D35" s="19" t="s">
        <v>146</v>
      </c>
      <c r="E35" s="37" t="s">
        <v>124</v>
      </c>
      <c r="F35" s="25" t="s">
        <v>147</v>
      </c>
      <c r="G35" s="30" t="s">
        <v>148</v>
      </c>
      <c r="H35" s="30" t="s">
        <v>149</v>
      </c>
      <c r="I35" s="25" t="s">
        <v>55</v>
      </c>
      <c r="J35" s="26"/>
      <c r="K35" s="26"/>
    </row>
    <row r="36" spans="2:13">
      <c r="B36" s="141"/>
      <c r="C36" s="127"/>
      <c r="D36" s="20"/>
      <c r="E36" s="38"/>
      <c r="F36" s="27"/>
      <c r="G36" s="31" t="s">
        <v>150</v>
      </c>
      <c r="H36" s="31" t="s">
        <v>151</v>
      </c>
      <c r="I36" s="27"/>
      <c r="J36" s="28"/>
      <c r="K36" s="28"/>
    </row>
    <row r="40" spans="2:13">
      <c r="B40" s="62" t="s">
        <v>211</v>
      </c>
      <c r="C40" s="62"/>
      <c r="D40" s="63"/>
      <c r="E40" s="1"/>
      <c r="F40" s="1"/>
      <c r="G40" s="1"/>
      <c r="H40" s="1"/>
      <c r="I40" s="1"/>
      <c r="J40" s="1"/>
      <c r="K40" s="1"/>
    </row>
    <row r="41" spans="2:13">
      <c r="B41" s="104" t="s">
        <v>331</v>
      </c>
      <c r="C41" s="43"/>
      <c r="D41" s="43"/>
      <c r="E41" s="43">
        <v>6</v>
      </c>
      <c r="F41" s="43">
        <v>4</v>
      </c>
      <c r="G41" s="43">
        <v>23</v>
      </c>
      <c r="H41" s="43">
        <v>22</v>
      </c>
      <c r="I41" s="43">
        <v>5</v>
      </c>
      <c r="J41" s="43">
        <v>19</v>
      </c>
      <c r="K41" s="44">
        <v>8</v>
      </c>
      <c r="M41" s="44" t="s">
        <v>239</v>
      </c>
    </row>
    <row r="42" spans="2:13">
      <c r="B42" s="101"/>
      <c r="C42" s="105" t="s">
        <v>332</v>
      </c>
      <c r="D42" s="102"/>
      <c r="E42" s="102">
        <v>9</v>
      </c>
      <c r="F42" s="102">
        <v>13</v>
      </c>
      <c r="G42" s="102">
        <v>17</v>
      </c>
      <c r="H42" s="102">
        <v>15</v>
      </c>
      <c r="I42" s="102">
        <v>11</v>
      </c>
      <c r="J42" s="102">
        <v>7</v>
      </c>
      <c r="K42" s="103">
        <v>3</v>
      </c>
      <c r="M42" s="44"/>
    </row>
    <row r="43" spans="2:13">
      <c r="B43" s="140">
        <v>10</v>
      </c>
      <c r="C43" s="126">
        <v>32</v>
      </c>
      <c r="D43" s="21"/>
      <c r="E43" s="22" t="s">
        <v>152</v>
      </c>
      <c r="F43" s="22" t="s">
        <v>153</v>
      </c>
      <c r="G43" s="23" t="s">
        <v>142</v>
      </c>
      <c r="H43" s="24"/>
      <c r="I43" s="24"/>
      <c r="J43" s="24"/>
      <c r="K43" s="23" t="s">
        <v>143</v>
      </c>
      <c r="M43" s="138" t="s">
        <v>82</v>
      </c>
    </row>
    <row r="44" spans="2:13">
      <c r="B44" s="140"/>
      <c r="C44" s="126"/>
      <c r="D44" s="21"/>
      <c r="E44" s="22"/>
      <c r="F44" s="22"/>
      <c r="G44" s="23"/>
      <c r="H44" s="24"/>
      <c r="I44" s="24"/>
      <c r="J44" s="24"/>
      <c r="K44" s="23"/>
      <c r="M44" s="138"/>
    </row>
    <row r="45" spans="2:13">
      <c r="B45" s="140">
        <v>30</v>
      </c>
      <c r="C45" s="126">
        <v>28</v>
      </c>
      <c r="D45" s="19" t="s">
        <v>8</v>
      </c>
      <c r="E45" s="26"/>
      <c r="F45" s="25" t="s">
        <v>9</v>
      </c>
      <c r="G45" s="25" t="s">
        <v>159</v>
      </c>
      <c r="H45" s="25" t="s">
        <v>11</v>
      </c>
      <c r="I45" s="26"/>
      <c r="J45" s="26"/>
      <c r="K45" s="25" t="s">
        <v>162</v>
      </c>
      <c r="M45" s="139" t="s">
        <v>84</v>
      </c>
    </row>
    <row r="46" spans="2:13">
      <c r="B46" s="140"/>
      <c r="C46" s="126"/>
      <c r="D46" s="20"/>
      <c r="E46" s="28"/>
      <c r="F46" s="27"/>
      <c r="G46" s="27"/>
      <c r="H46" s="27"/>
      <c r="I46" s="28"/>
      <c r="J46" s="28"/>
      <c r="K46" s="27"/>
      <c r="M46" s="139"/>
    </row>
    <row r="47" spans="2:13">
      <c r="B47" s="140">
        <v>24</v>
      </c>
      <c r="C47" s="126">
        <v>20</v>
      </c>
      <c r="D47" s="29" t="s">
        <v>157</v>
      </c>
      <c r="E47" s="24"/>
      <c r="F47" s="22" t="s">
        <v>14</v>
      </c>
      <c r="G47" s="22" t="s">
        <v>160</v>
      </c>
      <c r="H47" s="24"/>
      <c r="I47" s="24"/>
      <c r="J47" s="24"/>
      <c r="K47" s="24"/>
      <c r="M47" s="136" t="s">
        <v>83</v>
      </c>
    </row>
    <row r="48" spans="2:13">
      <c r="B48" s="140"/>
      <c r="C48" s="126"/>
      <c r="D48" s="29"/>
      <c r="E48" s="24"/>
      <c r="F48" s="22"/>
      <c r="G48" s="22"/>
      <c r="H48" s="24"/>
      <c r="I48" s="24"/>
      <c r="J48" s="24"/>
      <c r="K48" s="24"/>
      <c r="M48" s="136"/>
    </row>
    <row r="49" spans="2:13">
      <c r="B49" s="140">
        <v>29</v>
      </c>
      <c r="C49" s="126">
        <v>16</v>
      </c>
      <c r="D49" s="19" t="s">
        <v>158</v>
      </c>
      <c r="E49" s="30" t="s">
        <v>154</v>
      </c>
      <c r="F49" s="25" t="s">
        <v>18</v>
      </c>
      <c r="G49" s="25" t="s">
        <v>161</v>
      </c>
      <c r="H49" s="26"/>
      <c r="I49" s="30" t="s">
        <v>20</v>
      </c>
      <c r="J49" s="30" t="s">
        <v>155</v>
      </c>
      <c r="K49" s="134" t="s">
        <v>156</v>
      </c>
      <c r="M49" s="137" t="s">
        <v>105</v>
      </c>
    </row>
    <row r="50" spans="2:13">
      <c r="B50" s="140"/>
      <c r="C50" s="126"/>
      <c r="D50" s="20"/>
      <c r="E50" s="31"/>
      <c r="F50" s="27"/>
      <c r="G50" s="27"/>
      <c r="H50" s="28"/>
      <c r="I50" s="31"/>
      <c r="J50" s="31"/>
      <c r="K50" s="135"/>
      <c r="M50" s="137"/>
    </row>
    <row r="51" spans="2:13">
      <c r="B51" s="140">
        <v>27</v>
      </c>
      <c r="C51" s="126">
        <v>12</v>
      </c>
      <c r="D51" s="32" t="s">
        <v>218</v>
      </c>
      <c r="E51" s="53" t="s">
        <v>165</v>
      </c>
      <c r="F51" s="53" t="s">
        <v>167</v>
      </c>
      <c r="G51" s="53" t="s">
        <v>169</v>
      </c>
      <c r="H51" s="34" t="s">
        <v>234</v>
      </c>
      <c r="I51" s="53" t="s">
        <v>22</v>
      </c>
      <c r="J51" s="33" t="s">
        <v>215</v>
      </c>
      <c r="K51" s="33" t="s">
        <v>214</v>
      </c>
      <c r="M51" s="128" t="s">
        <v>330</v>
      </c>
    </row>
    <row r="52" spans="2:13">
      <c r="B52" s="140"/>
      <c r="C52" s="126"/>
      <c r="D52" s="32" t="s">
        <v>128</v>
      </c>
      <c r="E52" s="55" t="s">
        <v>164</v>
      </c>
      <c r="F52" s="55" t="s">
        <v>166</v>
      </c>
      <c r="G52" s="55" t="s">
        <v>168</v>
      </c>
      <c r="H52" s="52" t="s">
        <v>126</v>
      </c>
      <c r="I52" s="53" t="s">
        <v>170</v>
      </c>
      <c r="J52" s="33" t="s">
        <v>130</v>
      </c>
      <c r="K52" s="33" t="s">
        <v>131</v>
      </c>
      <c r="M52" s="129"/>
    </row>
    <row r="53" spans="2:13">
      <c r="B53" s="140">
        <v>16</v>
      </c>
      <c r="C53" s="126">
        <v>8</v>
      </c>
      <c r="D53" s="19" t="s">
        <v>64</v>
      </c>
      <c r="E53" s="53">
        <v>6</v>
      </c>
      <c r="F53" s="53">
        <v>9</v>
      </c>
      <c r="G53" s="24"/>
      <c r="H53" s="53" t="s">
        <v>52</v>
      </c>
      <c r="I53" s="54">
        <v>3</v>
      </c>
      <c r="J53" s="25" t="s">
        <v>63</v>
      </c>
      <c r="K53" s="26"/>
      <c r="M53" s="130" t="s">
        <v>209</v>
      </c>
    </row>
    <row r="54" spans="2:13">
      <c r="B54" s="140"/>
      <c r="C54" s="126"/>
      <c r="D54" s="20"/>
      <c r="E54" s="55" t="s">
        <v>171</v>
      </c>
      <c r="F54" s="55" t="s">
        <v>172</v>
      </c>
      <c r="G54" s="28"/>
      <c r="H54" s="55" t="s">
        <v>173</v>
      </c>
      <c r="I54" s="55" t="s">
        <v>174</v>
      </c>
      <c r="J54" s="27"/>
      <c r="K54" s="28"/>
      <c r="M54" s="131"/>
    </row>
    <row r="55" spans="2:13">
      <c r="B55" s="140">
        <v>9</v>
      </c>
      <c r="C55" s="126">
        <v>4</v>
      </c>
      <c r="D55" s="29" t="s">
        <v>81</v>
      </c>
      <c r="E55" s="53">
        <v>5</v>
      </c>
      <c r="F55" s="53">
        <v>8</v>
      </c>
      <c r="G55" s="24"/>
      <c r="H55" s="22" t="s">
        <v>80</v>
      </c>
      <c r="I55" s="53">
        <v>2</v>
      </c>
      <c r="J55" s="22" t="s">
        <v>207</v>
      </c>
      <c r="K55" s="22" t="s">
        <v>79</v>
      </c>
      <c r="M55" s="132" t="s">
        <v>193</v>
      </c>
    </row>
    <row r="56" spans="2:13">
      <c r="B56" s="140"/>
      <c r="C56" s="126"/>
      <c r="D56" s="29" t="s">
        <v>133</v>
      </c>
      <c r="E56" s="53" t="s">
        <v>175</v>
      </c>
      <c r="F56" s="53" t="s">
        <v>176</v>
      </c>
      <c r="G56" s="24"/>
      <c r="H56" s="22" t="s">
        <v>134</v>
      </c>
      <c r="I56" s="53" t="s">
        <v>177</v>
      </c>
      <c r="J56" s="22" t="s">
        <v>135</v>
      </c>
      <c r="K56" s="22"/>
      <c r="M56" s="132"/>
    </row>
    <row r="57" spans="2:13">
      <c r="B57" s="140">
        <v>26</v>
      </c>
      <c r="C57" s="126">
        <v>22</v>
      </c>
      <c r="D57" s="19" t="s">
        <v>2</v>
      </c>
      <c r="E57" s="25" t="s">
        <v>24</v>
      </c>
      <c r="F57" s="25">
        <v>1</v>
      </c>
      <c r="G57" s="26"/>
      <c r="H57" s="35" t="s">
        <v>220</v>
      </c>
      <c r="I57" s="25" t="s">
        <v>35</v>
      </c>
      <c r="J57" s="25" t="s">
        <v>70</v>
      </c>
      <c r="K57" s="25" t="s">
        <v>179</v>
      </c>
    </row>
    <row r="58" spans="2:13">
      <c r="B58" s="140"/>
      <c r="C58" s="126"/>
      <c r="D58" s="20" t="s">
        <v>136</v>
      </c>
      <c r="E58" s="27"/>
      <c r="F58" s="27"/>
      <c r="G58" s="28"/>
      <c r="H58" s="36" t="s">
        <v>137</v>
      </c>
      <c r="I58" s="27"/>
      <c r="J58" s="27"/>
      <c r="K58" s="27"/>
    </row>
    <row r="59" spans="2:13">
      <c r="B59" s="140">
        <v>28</v>
      </c>
      <c r="C59" s="126">
        <v>26</v>
      </c>
      <c r="D59" s="21"/>
      <c r="E59" s="24"/>
      <c r="F59" s="24"/>
      <c r="G59" s="24"/>
      <c r="H59" s="23" t="s">
        <v>138</v>
      </c>
      <c r="I59" s="24"/>
      <c r="J59" s="23" t="s">
        <v>139</v>
      </c>
      <c r="K59" s="24"/>
    </row>
    <row r="60" spans="2:13">
      <c r="B60" s="140"/>
      <c r="C60" s="126"/>
      <c r="D60" s="21"/>
      <c r="E60" s="24"/>
      <c r="F60" s="24"/>
      <c r="G60" s="24"/>
      <c r="H60" s="23"/>
      <c r="I60" s="24"/>
      <c r="J60" s="23"/>
      <c r="K60" s="24"/>
      <c r="M60" s="71" t="s">
        <v>235</v>
      </c>
    </row>
    <row r="61" spans="2:13">
      <c r="B61" s="140">
        <v>32</v>
      </c>
      <c r="C61" s="126">
        <v>30</v>
      </c>
      <c r="D61" s="41" t="s">
        <v>141</v>
      </c>
      <c r="E61" s="26"/>
      <c r="F61" s="26"/>
      <c r="G61" s="26"/>
      <c r="H61" s="37" t="s">
        <v>140</v>
      </c>
      <c r="I61" s="26"/>
      <c r="J61" s="26"/>
      <c r="K61" s="26"/>
      <c r="M61" s="71" t="s">
        <v>236</v>
      </c>
    </row>
    <row r="62" spans="2:13">
      <c r="B62" s="140"/>
      <c r="C62" s="126"/>
      <c r="D62" s="42"/>
      <c r="E62" s="28"/>
      <c r="F62" s="28"/>
      <c r="G62" s="28"/>
      <c r="H62" s="38"/>
      <c r="I62" s="28"/>
      <c r="J62" s="28"/>
      <c r="K62" s="28"/>
      <c r="M62" s="71" t="s">
        <v>326</v>
      </c>
    </row>
    <row r="63" spans="2:13">
      <c r="B63" s="140">
        <v>31</v>
      </c>
      <c r="C63" s="126">
        <v>18</v>
      </c>
      <c r="D63" s="29" t="s">
        <v>58</v>
      </c>
      <c r="E63" s="22" t="s">
        <v>25</v>
      </c>
      <c r="F63" s="22">
        <v>2</v>
      </c>
      <c r="G63" s="24"/>
      <c r="H63" s="22" t="s">
        <v>46</v>
      </c>
      <c r="I63" s="22" t="s">
        <v>36</v>
      </c>
      <c r="J63" s="22" t="s">
        <v>178</v>
      </c>
      <c r="K63" s="34" t="s">
        <v>232</v>
      </c>
      <c r="M63" s="71" t="s">
        <v>327</v>
      </c>
    </row>
    <row r="64" spans="2:13">
      <c r="B64" s="140"/>
      <c r="C64" s="126"/>
      <c r="D64" s="29"/>
      <c r="E64" s="22"/>
      <c r="F64" s="22"/>
      <c r="G64" s="24"/>
      <c r="H64" s="22"/>
      <c r="I64" s="22"/>
      <c r="J64" s="22"/>
      <c r="K64" s="34" t="s">
        <v>144</v>
      </c>
      <c r="M64" s="71" t="s">
        <v>237</v>
      </c>
    </row>
    <row r="65" spans="2:13">
      <c r="B65" s="140">
        <v>17</v>
      </c>
      <c r="C65" s="126">
        <v>14</v>
      </c>
      <c r="D65" s="19" t="s">
        <v>59</v>
      </c>
      <c r="E65" s="25" t="s">
        <v>26</v>
      </c>
      <c r="F65" s="25">
        <v>3</v>
      </c>
      <c r="G65" s="26"/>
      <c r="H65" s="25" t="s">
        <v>47</v>
      </c>
      <c r="I65" s="25" t="s">
        <v>37</v>
      </c>
      <c r="J65" s="25" t="s">
        <v>60</v>
      </c>
      <c r="K65" s="25" t="s">
        <v>62</v>
      </c>
      <c r="M65" s="71" t="s">
        <v>238</v>
      </c>
    </row>
    <row r="66" spans="2:13">
      <c r="B66" s="140"/>
      <c r="C66" s="126"/>
      <c r="D66" s="20"/>
      <c r="E66" s="27"/>
      <c r="F66" s="27"/>
      <c r="G66" s="28"/>
      <c r="H66" s="27"/>
      <c r="I66" s="27"/>
      <c r="J66" s="27"/>
      <c r="K66" s="27"/>
    </row>
    <row r="67" spans="2:13">
      <c r="B67" s="140">
        <v>25</v>
      </c>
      <c r="C67" s="126">
        <v>10</v>
      </c>
      <c r="D67" s="29">
        <v>5</v>
      </c>
      <c r="E67" s="22" t="s">
        <v>27</v>
      </c>
      <c r="F67" s="22">
        <v>4</v>
      </c>
      <c r="G67" s="22" t="s">
        <v>49</v>
      </c>
      <c r="H67" s="22" t="s">
        <v>48</v>
      </c>
      <c r="I67" s="22" t="s">
        <v>38</v>
      </c>
      <c r="J67" s="22" t="s">
        <v>28</v>
      </c>
      <c r="K67" s="22" t="s">
        <v>39</v>
      </c>
    </row>
    <row r="68" spans="2:13">
      <c r="B68" s="140"/>
      <c r="C68" s="126"/>
      <c r="D68" s="29"/>
      <c r="E68" s="22"/>
      <c r="F68" s="22"/>
      <c r="G68" s="22"/>
      <c r="H68" s="22"/>
      <c r="I68" s="22"/>
      <c r="J68" s="22"/>
      <c r="K68" s="22"/>
    </row>
    <row r="69" spans="2:13">
      <c r="B69" s="140">
        <v>33</v>
      </c>
      <c r="C69" s="126">
        <v>6</v>
      </c>
      <c r="D69" s="19" t="s">
        <v>65</v>
      </c>
      <c r="E69" s="26"/>
      <c r="F69" s="25" t="s">
        <v>66</v>
      </c>
      <c r="G69" s="25" t="s">
        <v>54</v>
      </c>
      <c r="H69" s="25" t="s">
        <v>34</v>
      </c>
      <c r="I69" s="39" t="s">
        <v>104</v>
      </c>
      <c r="J69" s="25" t="s">
        <v>163</v>
      </c>
      <c r="K69" s="25" t="s">
        <v>61</v>
      </c>
    </row>
    <row r="70" spans="2:13">
      <c r="B70" s="140"/>
      <c r="C70" s="126"/>
      <c r="D70" s="20"/>
      <c r="E70" s="28"/>
      <c r="F70" s="27"/>
      <c r="G70" s="27"/>
      <c r="H70" s="27"/>
      <c r="I70" s="40" t="s">
        <v>126</v>
      </c>
      <c r="J70" s="27"/>
      <c r="K70" s="27"/>
    </row>
    <row r="71" spans="2:13">
      <c r="B71" s="140">
        <v>15</v>
      </c>
      <c r="C71" s="126">
        <v>2</v>
      </c>
      <c r="D71" s="29">
        <v>6</v>
      </c>
      <c r="E71" s="53">
        <v>4</v>
      </c>
      <c r="F71" s="53">
        <v>7</v>
      </c>
      <c r="G71" s="22" t="s">
        <v>50</v>
      </c>
      <c r="H71" s="53">
        <v>0</v>
      </c>
      <c r="I71" s="53">
        <v>1</v>
      </c>
      <c r="J71" s="33" t="s">
        <v>219</v>
      </c>
      <c r="K71" s="22" t="s">
        <v>40</v>
      </c>
    </row>
    <row r="72" spans="2:13">
      <c r="B72" s="140"/>
      <c r="C72" s="126"/>
      <c r="D72" s="29"/>
      <c r="E72" s="53" t="s">
        <v>181</v>
      </c>
      <c r="F72" s="53" t="s">
        <v>182</v>
      </c>
      <c r="G72" s="22"/>
      <c r="H72" s="53" t="s">
        <v>192</v>
      </c>
      <c r="I72" s="53" t="s">
        <v>183</v>
      </c>
      <c r="J72" s="33" t="s">
        <v>145</v>
      </c>
      <c r="K72" s="22"/>
    </row>
    <row r="73" spans="2:13">
      <c r="B73" s="140">
        <v>14</v>
      </c>
      <c r="C73" s="126">
        <v>24</v>
      </c>
      <c r="D73" s="19" t="s">
        <v>146</v>
      </c>
      <c r="E73" s="37" t="s">
        <v>124</v>
      </c>
      <c r="F73" s="25" t="s">
        <v>147</v>
      </c>
      <c r="G73" s="30" t="s">
        <v>148</v>
      </c>
      <c r="H73" s="30" t="s">
        <v>149</v>
      </c>
      <c r="I73" s="25" t="s">
        <v>55</v>
      </c>
      <c r="J73" s="26"/>
      <c r="K73" s="26"/>
    </row>
    <row r="74" spans="2:13">
      <c r="B74" s="141"/>
      <c r="C74" s="127"/>
      <c r="D74" s="20"/>
      <c r="E74" s="38"/>
      <c r="F74" s="27"/>
      <c r="G74" s="31" t="s">
        <v>150</v>
      </c>
      <c r="H74" s="31" t="s">
        <v>151</v>
      </c>
      <c r="I74" s="27"/>
      <c r="J74" s="28"/>
      <c r="K74" s="28"/>
    </row>
    <row r="78" spans="2:13">
      <c r="B78" s="62" t="s">
        <v>213</v>
      </c>
      <c r="C78" s="62"/>
      <c r="D78" s="63"/>
      <c r="E78" s="1"/>
      <c r="F78" s="1"/>
      <c r="G78" s="1"/>
      <c r="H78" s="1"/>
      <c r="I78" s="1"/>
      <c r="J78" s="1"/>
      <c r="K78" s="1"/>
    </row>
    <row r="79" spans="2:13">
      <c r="B79" s="104" t="s">
        <v>331</v>
      </c>
      <c r="C79" s="45"/>
      <c r="D79" s="45"/>
      <c r="E79" s="45">
        <v>6</v>
      </c>
      <c r="F79" s="45">
        <v>4</v>
      </c>
      <c r="G79" s="45">
        <v>23</v>
      </c>
      <c r="H79" s="45">
        <v>22</v>
      </c>
      <c r="I79" s="45">
        <v>5</v>
      </c>
      <c r="J79" s="45">
        <v>19</v>
      </c>
      <c r="K79" s="45">
        <v>8</v>
      </c>
      <c r="M79" s="44" t="s">
        <v>239</v>
      </c>
    </row>
    <row r="80" spans="2:13">
      <c r="B80" s="106"/>
      <c r="C80" s="105" t="s">
        <v>332</v>
      </c>
      <c r="D80" s="102"/>
      <c r="E80" s="102">
        <v>9</v>
      </c>
      <c r="F80" s="102">
        <v>13</v>
      </c>
      <c r="G80" s="102">
        <v>17</v>
      </c>
      <c r="H80" s="102">
        <v>15</v>
      </c>
      <c r="I80" s="102">
        <v>11</v>
      </c>
      <c r="J80" s="102">
        <v>7</v>
      </c>
      <c r="K80" s="103">
        <v>3</v>
      </c>
      <c r="M80" s="44"/>
    </row>
    <row r="81" spans="2:13">
      <c r="B81" s="140">
        <v>10</v>
      </c>
      <c r="C81" s="126">
        <v>32</v>
      </c>
      <c r="D81" s="26"/>
      <c r="E81" s="58" t="s">
        <v>125</v>
      </c>
      <c r="F81" s="25"/>
      <c r="G81" s="46"/>
      <c r="H81" s="47"/>
      <c r="I81" s="47"/>
      <c r="J81" s="47"/>
      <c r="K81" s="46"/>
      <c r="M81" s="138" t="s">
        <v>82</v>
      </c>
    </row>
    <row r="82" spans="2:13">
      <c r="B82" s="140"/>
      <c r="C82" s="126"/>
      <c r="D82" s="28"/>
      <c r="E82" s="59"/>
      <c r="F82" s="27"/>
      <c r="G82" s="48"/>
      <c r="H82" s="49"/>
      <c r="I82" s="49"/>
      <c r="J82" s="49"/>
      <c r="K82" s="48"/>
      <c r="M82" s="138"/>
    </row>
    <row r="83" spans="2:13">
      <c r="B83" s="140">
        <v>30</v>
      </c>
      <c r="C83" s="126">
        <v>28</v>
      </c>
      <c r="D83" s="56" t="s">
        <v>199</v>
      </c>
      <c r="E83" s="24"/>
      <c r="F83" s="56" t="s">
        <v>199</v>
      </c>
      <c r="G83" s="109" t="s">
        <v>186</v>
      </c>
      <c r="H83" s="22" t="s">
        <v>11</v>
      </c>
      <c r="I83" s="24"/>
      <c r="J83" s="24"/>
      <c r="K83" s="109" t="s">
        <v>187</v>
      </c>
      <c r="M83" s="139" t="s">
        <v>84</v>
      </c>
    </row>
    <row r="84" spans="2:13">
      <c r="B84" s="140"/>
      <c r="C84" s="126"/>
      <c r="D84" s="56" t="s">
        <v>200</v>
      </c>
      <c r="E84" s="24"/>
      <c r="F84" s="56" t="s">
        <v>201</v>
      </c>
      <c r="G84" s="110" t="s">
        <v>255</v>
      </c>
      <c r="H84" s="22"/>
      <c r="I84" s="24"/>
      <c r="J84" s="24"/>
      <c r="K84" s="110" t="s">
        <v>291</v>
      </c>
      <c r="M84" s="139"/>
    </row>
    <row r="85" spans="2:13">
      <c r="B85" s="140">
        <v>24</v>
      </c>
      <c r="C85" s="126">
        <v>20</v>
      </c>
      <c r="D85" s="25" t="s">
        <v>157</v>
      </c>
      <c r="E85" s="26"/>
      <c r="F85" s="58" t="s">
        <v>188</v>
      </c>
      <c r="G85" s="111" t="s">
        <v>185</v>
      </c>
      <c r="H85" s="26"/>
      <c r="I85" s="47"/>
      <c r="J85" s="47"/>
      <c r="K85" s="26"/>
      <c r="M85" s="136" t="s">
        <v>83</v>
      </c>
    </row>
    <row r="86" spans="2:13">
      <c r="B86" s="140"/>
      <c r="C86" s="126"/>
      <c r="D86" s="29"/>
      <c r="E86" s="28"/>
      <c r="F86" s="59"/>
      <c r="G86" s="112" t="s">
        <v>256</v>
      </c>
      <c r="H86" s="28"/>
      <c r="I86" s="49"/>
      <c r="J86" s="49"/>
      <c r="K86" s="28"/>
      <c r="M86" s="136"/>
    </row>
    <row r="87" spans="2:13">
      <c r="B87" s="140">
        <v>29</v>
      </c>
      <c r="C87" s="126">
        <v>16</v>
      </c>
      <c r="D87" s="19" t="s">
        <v>158</v>
      </c>
      <c r="E87" s="50"/>
      <c r="F87" s="22" t="s">
        <v>18</v>
      </c>
      <c r="G87" s="109" t="s">
        <v>184</v>
      </c>
      <c r="H87" s="24"/>
      <c r="I87" s="50"/>
      <c r="J87" s="50"/>
      <c r="K87" s="134" t="s">
        <v>156</v>
      </c>
      <c r="M87" s="137" t="s">
        <v>105</v>
      </c>
    </row>
    <row r="88" spans="2:13">
      <c r="B88" s="140"/>
      <c r="C88" s="126"/>
      <c r="D88" s="20"/>
      <c r="E88" s="50"/>
      <c r="F88" s="22"/>
      <c r="G88" s="110" t="s">
        <v>257</v>
      </c>
      <c r="H88" s="24"/>
      <c r="I88" s="50"/>
      <c r="J88" s="50"/>
      <c r="K88" s="135"/>
      <c r="M88" s="137"/>
    </row>
    <row r="89" spans="2:13">
      <c r="B89" s="140">
        <v>27</v>
      </c>
      <c r="C89" s="126">
        <v>12</v>
      </c>
      <c r="D89" s="47"/>
      <c r="E89" s="54" t="s">
        <v>165</v>
      </c>
      <c r="F89" s="54" t="s">
        <v>167</v>
      </c>
      <c r="G89" s="54" t="s">
        <v>169</v>
      </c>
      <c r="H89" s="47"/>
      <c r="I89" s="54" t="s">
        <v>22</v>
      </c>
      <c r="J89" s="47"/>
      <c r="K89" s="47"/>
      <c r="M89" s="128" t="s">
        <v>330</v>
      </c>
    </row>
    <row r="90" spans="2:13">
      <c r="B90" s="140"/>
      <c r="C90" s="126"/>
      <c r="D90" s="49"/>
      <c r="E90" s="55" t="s">
        <v>164</v>
      </c>
      <c r="F90" s="55" t="s">
        <v>166</v>
      </c>
      <c r="G90" s="55" t="s">
        <v>168</v>
      </c>
      <c r="H90" s="49"/>
      <c r="I90" s="53" t="s">
        <v>170</v>
      </c>
      <c r="J90" s="49"/>
      <c r="K90" s="49"/>
      <c r="M90" s="129"/>
    </row>
    <row r="91" spans="2:13">
      <c r="B91" s="140">
        <v>16</v>
      </c>
      <c r="C91" s="126">
        <v>8</v>
      </c>
      <c r="D91" s="56" t="s">
        <v>64</v>
      </c>
      <c r="E91" s="53">
        <v>6</v>
      </c>
      <c r="F91" s="53">
        <v>9</v>
      </c>
      <c r="G91" s="50"/>
      <c r="H91" s="53" t="s">
        <v>52</v>
      </c>
      <c r="I91" s="54">
        <v>3</v>
      </c>
      <c r="J91" s="56" t="s">
        <v>189</v>
      </c>
      <c r="K91" s="24"/>
      <c r="M91" s="130" t="s">
        <v>209</v>
      </c>
    </row>
    <row r="92" spans="2:13">
      <c r="B92" s="140"/>
      <c r="C92" s="126"/>
      <c r="D92" s="56" t="s">
        <v>198</v>
      </c>
      <c r="E92" s="55" t="s">
        <v>171</v>
      </c>
      <c r="F92" s="55" t="s">
        <v>172</v>
      </c>
      <c r="G92" s="50"/>
      <c r="H92" s="55" t="s">
        <v>173</v>
      </c>
      <c r="I92" s="55" t="s">
        <v>174</v>
      </c>
      <c r="J92" s="60" t="s">
        <v>196</v>
      </c>
      <c r="K92" s="24"/>
      <c r="M92" s="131"/>
    </row>
    <row r="93" spans="2:13">
      <c r="B93" s="140">
        <v>9</v>
      </c>
      <c r="C93" s="126">
        <v>4</v>
      </c>
      <c r="D93" s="47"/>
      <c r="E93" s="53">
        <v>5</v>
      </c>
      <c r="F93" s="53">
        <v>8</v>
      </c>
      <c r="G93" s="47"/>
      <c r="H93" s="50"/>
      <c r="I93" s="53">
        <v>2</v>
      </c>
      <c r="J93" s="47"/>
      <c r="K93" s="25" t="s">
        <v>79</v>
      </c>
      <c r="M93" s="132" t="s">
        <v>193</v>
      </c>
    </row>
    <row r="94" spans="2:13">
      <c r="B94" s="140"/>
      <c r="C94" s="126"/>
      <c r="D94" s="49"/>
      <c r="E94" s="55" t="s">
        <v>175</v>
      </c>
      <c r="F94" s="55" t="s">
        <v>176</v>
      </c>
      <c r="G94" s="49"/>
      <c r="H94" s="49"/>
      <c r="I94" s="55" t="s">
        <v>177</v>
      </c>
      <c r="J94" s="49"/>
      <c r="K94" s="27"/>
      <c r="M94" s="132"/>
    </row>
    <row r="95" spans="2:13">
      <c r="B95" s="140">
        <v>26</v>
      </c>
      <c r="C95" s="126">
        <v>22</v>
      </c>
      <c r="D95" s="50"/>
      <c r="E95" s="50"/>
      <c r="F95" s="50"/>
      <c r="G95" s="50"/>
      <c r="H95" s="50"/>
      <c r="I95" s="50"/>
      <c r="J95" s="50"/>
      <c r="K95" s="50"/>
      <c r="M95" s="133" t="s">
        <v>194</v>
      </c>
    </row>
    <row r="96" spans="2:13">
      <c r="B96" s="140"/>
      <c r="C96" s="126"/>
      <c r="D96" s="50"/>
      <c r="E96" s="50"/>
      <c r="F96" s="50"/>
      <c r="G96" s="50"/>
      <c r="H96" s="50"/>
      <c r="I96" s="50"/>
      <c r="J96" s="50"/>
      <c r="K96" s="50"/>
      <c r="M96" s="133"/>
    </row>
    <row r="97" spans="2:11">
      <c r="B97" s="140">
        <v>28</v>
      </c>
      <c r="C97" s="126">
        <v>26</v>
      </c>
      <c r="D97" s="47"/>
      <c r="E97" s="47"/>
      <c r="F97" s="47"/>
      <c r="G97" s="47"/>
      <c r="H97" s="46"/>
      <c r="I97" s="47"/>
      <c r="J97" s="46"/>
      <c r="K97" s="26"/>
    </row>
    <row r="98" spans="2:11">
      <c r="B98" s="140"/>
      <c r="C98" s="126"/>
      <c r="D98" s="49"/>
      <c r="E98" s="49"/>
      <c r="F98" s="49"/>
      <c r="G98" s="49"/>
      <c r="H98" s="48"/>
      <c r="I98" s="49"/>
      <c r="J98" s="48"/>
      <c r="K98" s="28"/>
    </row>
    <row r="99" spans="2:11">
      <c r="B99" s="140">
        <v>32</v>
      </c>
      <c r="C99" s="126">
        <v>30</v>
      </c>
      <c r="D99" s="51"/>
      <c r="E99" s="50"/>
      <c r="F99" s="50"/>
      <c r="G99" s="50"/>
      <c r="H99" s="51"/>
      <c r="I99" s="50"/>
      <c r="J99" s="50"/>
      <c r="K99" s="24"/>
    </row>
    <row r="100" spans="2:11">
      <c r="B100" s="140"/>
      <c r="C100" s="126"/>
      <c r="D100" s="51"/>
      <c r="E100" s="50"/>
      <c r="F100" s="50"/>
      <c r="G100" s="50"/>
      <c r="H100" s="51"/>
      <c r="I100" s="50"/>
      <c r="J100" s="50"/>
      <c r="K100" s="24"/>
    </row>
    <row r="101" spans="2:11">
      <c r="B101" s="140">
        <v>31</v>
      </c>
      <c r="C101" s="126">
        <v>18</v>
      </c>
      <c r="D101" s="25" t="s">
        <v>58</v>
      </c>
      <c r="E101" s="47"/>
      <c r="F101" s="47"/>
      <c r="G101" s="47"/>
      <c r="H101" s="47"/>
      <c r="I101" s="47"/>
      <c r="J101" s="47"/>
      <c r="K101" s="47"/>
    </row>
    <row r="102" spans="2:11">
      <c r="B102" s="140"/>
      <c r="C102" s="126"/>
      <c r="D102" s="27"/>
      <c r="E102" s="49"/>
      <c r="F102" s="49"/>
      <c r="G102" s="49"/>
      <c r="H102" s="49"/>
      <c r="I102" s="49"/>
      <c r="J102" s="49"/>
      <c r="K102" s="49"/>
    </row>
    <row r="103" spans="2:11">
      <c r="B103" s="140">
        <v>17</v>
      </c>
      <c r="C103" s="126">
        <v>14</v>
      </c>
      <c r="D103" s="56" t="s">
        <v>195</v>
      </c>
      <c r="E103" s="50"/>
      <c r="F103" s="50"/>
      <c r="G103" s="50"/>
      <c r="H103" s="50"/>
      <c r="I103" s="50"/>
      <c r="J103" s="56" t="s">
        <v>202</v>
      </c>
      <c r="K103" s="57" t="s">
        <v>203</v>
      </c>
    </row>
    <row r="104" spans="2:11">
      <c r="B104" s="140"/>
      <c r="C104" s="126"/>
      <c r="D104" s="60" t="s">
        <v>197</v>
      </c>
      <c r="E104" s="50"/>
      <c r="F104" s="50"/>
      <c r="G104" s="50"/>
      <c r="H104" s="50"/>
      <c r="I104" s="50"/>
      <c r="J104" s="56"/>
      <c r="K104" s="57"/>
    </row>
    <row r="105" spans="2:11">
      <c r="B105" s="140">
        <v>25</v>
      </c>
      <c r="C105" s="126">
        <v>10</v>
      </c>
      <c r="D105" s="47"/>
      <c r="E105" s="47"/>
      <c r="F105" s="47"/>
      <c r="G105" s="47"/>
      <c r="H105" s="47"/>
      <c r="I105" s="47"/>
      <c r="J105" s="47"/>
      <c r="K105" s="47"/>
    </row>
    <row r="106" spans="2:11">
      <c r="B106" s="140"/>
      <c r="C106" s="126"/>
      <c r="D106" s="49"/>
      <c r="E106" s="49"/>
      <c r="F106" s="49"/>
      <c r="G106" s="49"/>
      <c r="H106" s="49"/>
      <c r="I106" s="49"/>
      <c r="J106" s="49"/>
      <c r="K106" s="49"/>
    </row>
    <row r="107" spans="2:11">
      <c r="B107" s="140">
        <v>33</v>
      </c>
      <c r="C107" s="126">
        <v>6</v>
      </c>
      <c r="D107" s="56" t="s">
        <v>206</v>
      </c>
      <c r="E107" s="50"/>
      <c r="F107" s="22" t="s">
        <v>66</v>
      </c>
      <c r="G107" s="56" t="s">
        <v>205</v>
      </c>
      <c r="H107" s="50"/>
      <c r="I107" s="50"/>
      <c r="J107" s="50"/>
      <c r="K107" s="56" t="s">
        <v>204</v>
      </c>
    </row>
    <row r="108" spans="2:11">
      <c r="B108" s="140"/>
      <c r="C108" s="126"/>
      <c r="D108" s="56" t="s">
        <v>190</v>
      </c>
      <c r="E108" s="50"/>
      <c r="F108" s="22"/>
      <c r="G108" s="56"/>
      <c r="H108" s="50"/>
      <c r="I108" s="50"/>
      <c r="J108" s="50"/>
      <c r="K108" s="56"/>
    </row>
    <row r="109" spans="2:11">
      <c r="B109" s="140">
        <v>15</v>
      </c>
      <c r="C109" s="126">
        <v>2</v>
      </c>
      <c r="D109" s="47"/>
      <c r="E109" s="54">
        <v>4</v>
      </c>
      <c r="F109" s="54">
        <v>7</v>
      </c>
      <c r="G109" s="47"/>
      <c r="H109" s="54">
        <v>0</v>
      </c>
      <c r="I109" s="54">
        <v>1</v>
      </c>
      <c r="J109" s="47"/>
      <c r="K109" s="47"/>
    </row>
    <row r="110" spans="2:11">
      <c r="B110" s="140"/>
      <c r="C110" s="126"/>
      <c r="D110" s="49"/>
      <c r="E110" s="55" t="s">
        <v>181</v>
      </c>
      <c r="F110" s="55" t="s">
        <v>182</v>
      </c>
      <c r="G110" s="49"/>
      <c r="H110" s="55" t="s">
        <v>192</v>
      </c>
      <c r="I110" s="55" t="s">
        <v>183</v>
      </c>
      <c r="J110" s="49"/>
      <c r="K110" s="49"/>
    </row>
    <row r="111" spans="2:11">
      <c r="B111" s="140">
        <v>14</v>
      </c>
      <c r="C111" s="126">
        <v>24</v>
      </c>
      <c r="D111" s="56" t="s">
        <v>191</v>
      </c>
      <c r="E111" s="51"/>
      <c r="F111" s="50"/>
      <c r="G111" s="111"/>
      <c r="H111" s="111"/>
      <c r="I111" s="50"/>
      <c r="J111" s="24"/>
      <c r="K111" s="24"/>
    </row>
    <row r="112" spans="2:11">
      <c r="B112" s="141"/>
      <c r="C112" s="127"/>
      <c r="D112" s="59"/>
      <c r="E112" s="48"/>
      <c r="F112" s="49"/>
      <c r="G112" s="113" t="s">
        <v>303</v>
      </c>
      <c r="H112" s="113" t="s">
        <v>302</v>
      </c>
      <c r="I112" s="49"/>
      <c r="J112" s="28"/>
      <c r="K112" s="28"/>
    </row>
    <row r="143" spans="2:11">
      <c r="B143" s="61"/>
      <c r="C143" s="61"/>
      <c r="D143" s="62" t="s">
        <v>210</v>
      </c>
      <c r="E143" s="68" t="s">
        <v>222</v>
      </c>
      <c r="F143" s="68" t="s">
        <v>230</v>
      </c>
      <c r="G143" s="68" t="s">
        <v>231</v>
      </c>
      <c r="H143" s="68" t="s">
        <v>221</v>
      </c>
      <c r="I143" s="68" t="s">
        <v>223</v>
      </c>
      <c r="J143" s="68" t="s">
        <v>226</v>
      </c>
      <c r="K143" s="61" t="s">
        <v>228</v>
      </c>
    </row>
    <row r="145" spans="2:13">
      <c r="D145" s="66" t="s">
        <v>144</v>
      </c>
      <c r="E145" s="72" t="s">
        <v>104</v>
      </c>
      <c r="F145" s="73" t="s">
        <v>225</v>
      </c>
      <c r="G145" s="73"/>
      <c r="H145" s="73" t="s">
        <v>1</v>
      </c>
      <c r="I145" s="73" t="s">
        <v>224</v>
      </c>
      <c r="J145" s="75" t="s">
        <v>225</v>
      </c>
      <c r="K145" s="108" t="s">
        <v>335</v>
      </c>
      <c r="M145" s="128" t="s">
        <v>330</v>
      </c>
    </row>
    <row r="146" spans="2:13">
      <c r="D146" s="81" t="s">
        <v>312</v>
      </c>
      <c r="E146" s="74"/>
      <c r="F146" s="69"/>
      <c r="G146" s="69"/>
      <c r="H146" s="69"/>
      <c r="I146" s="69"/>
      <c r="J146" s="21"/>
      <c r="K146" s="107" t="s">
        <v>336</v>
      </c>
      <c r="M146" s="129"/>
    </row>
    <row r="147" spans="2:13">
      <c r="D147" s="39" t="s">
        <v>126</v>
      </c>
      <c r="E147" s="72" t="s">
        <v>104</v>
      </c>
      <c r="F147" s="73"/>
      <c r="G147" s="73"/>
      <c r="H147" s="73"/>
      <c r="I147" s="73"/>
      <c r="J147" s="75"/>
      <c r="K147" s="108" t="s">
        <v>337</v>
      </c>
      <c r="M147" s="130" t="s">
        <v>209</v>
      </c>
    </row>
    <row r="148" spans="2:13">
      <c r="D148" s="82" t="s">
        <v>313</v>
      </c>
      <c r="E148" s="76"/>
      <c r="F148" s="77"/>
      <c r="G148" s="77"/>
      <c r="H148" s="77"/>
      <c r="I148" s="77"/>
      <c r="J148" s="78"/>
      <c r="K148" s="107" t="s">
        <v>338</v>
      </c>
      <c r="M148" s="131"/>
    </row>
    <row r="149" spans="2:13">
      <c r="D149" s="66" t="s">
        <v>126</v>
      </c>
      <c r="E149" s="74" t="s">
        <v>3</v>
      </c>
      <c r="F149" s="69" t="s">
        <v>229</v>
      </c>
      <c r="G149" s="69" t="s">
        <v>104</v>
      </c>
      <c r="H149" s="69" t="s">
        <v>3</v>
      </c>
      <c r="I149" s="70" t="s">
        <v>227</v>
      </c>
      <c r="J149" s="21"/>
      <c r="K149" s="108" t="s">
        <v>333</v>
      </c>
    </row>
    <row r="150" spans="2:13">
      <c r="D150" s="81" t="s">
        <v>313</v>
      </c>
      <c r="E150" s="76"/>
      <c r="F150" s="77"/>
      <c r="G150" s="77"/>
      <c r="H150" s="77"/>
      <c r="I150" s="79"/>
      <c r="J150" s="78"/>
      <c r="K150" s="107" t="s">
        <v>334</v>
      </c>
    </row>
    <row r="153" spans="2:13">
      <c r="B153" s="61"/>
      <c r="C153" s="61"/>
      <c r="D153" s="61" t="s">
        <v>272</v>
      </c>
      <c r="E153" s="61"/>
      <c r="F153" s="61" t="s">
        <v>273</v>
      </c>
      <c r="G153" s="61" t="s">
        <v>274</v>
      </c>
      <c r="H153" s="61"/>
      <c r="I153" s="61"/>
      <c r="J153" s="61"/>
      <c r="K153" s="61"/>
    </row>
    <row r="154" spans="2:13">
      <c r="D154" s="88" t="s">
        <v>150</v>
      </c>
      <c r="E154" s="64"/>
      <c r="F154" s="83" t="s">
        <v>247</v>
      </c>
      <c r="G154" s="64" t="s">
        <v>270</v>
      </c>
      <c r="H154" s="93" t="s">
        <v>328</v>
      </c>
      <c r="I154" s="64"/>
      <c r="J154" s="64"/>
      <c r="K154" s="64"/>
    </row>
    <row r="155" spans="2:13">
      <c r="D155" s="80" t="s">
        <v>151</v>
      </c>
      <c r="E155" s="65"/>
      <c r="F155" s="84" t="s">
        <v>248</v>
      </c>
      <c r="G155" s="65" t="s">
        <v>271</v>
      </c>
      <c r="H155" s="65"/>
      <c r="I155" s="65"/>
      <c r="J155" s="65"/>
      <c r="K155" s="65"/>
    </row>
    <row r="156" spans="2:13">
      <c r="D156" s="87"/>
      <c r="E156" s="65"/>
      <c r="F156" s="84"/>
      <c r="G156" s="65"/>
      <c r="H156" s="65"/>
      <c r="I156" s="65"/>
      <c r="J156" s="65"/>
      <c r="K156" s="65"/>
    </row>
    <row r="157" spans="2:13">
      <c r="D157" s="67" t="s">
        <v>243</v>
      </c>
      <c r="E157" s="67"/>
      <c r="F157" s="85" t="s">
        <v>249</v>
      </c>
      <c r="G157" s="67" t="s">
        <v>269</v>
      </c>
      <c r="H157" s="99" t="s">
        <v>286</v>
      </c>
      <c r="I157" s="67"/>
      <c r="J157" s="67"/>
      <c r="K157" s="67"/>
    </row>
    <row r="158" spans="2:13">
      <c r="D158" s="64"/>
      <c r="E158" s="64"/>
      <c r="F158" s="83"/>
      <c r="G158" s="64"/>
      <c r="H158" s="64"/>
      <c r="I158" s="64"/>
      <c r="J158" s="64"/>
      <c r="K158" s="64"/>
    </row>
    <row r="159" spans="2:13">
      <c r="D159" s="89" t="s">
        <v>244</v>
      </c>
      <c r="E159" s="89"/>
      <c r="F159" s="90" t="s">
        <v>240</v>
      </c>
      <c r="G159" s="89" t="s">
        <v>267</v>
      </c>
      <c r="H159" s="96" t="s">
        <v>324</v>
      </c>
      <c r="I159" s="89"/>
      <c r="J159" s="89"/>
      <c r="K159" s="89"/>
    </row>
    <row r="160" spans="2:13">
      <c r="D160" s="65" t="s">
        <v>245</v>
      </c>
      <c r="E160" s="65"/>
      <c r="F160" s="84" t="s">
        <v>241</v>
      </c>
      <c r="G160" s="65" t="s">
        <v>268</v>
      </c>
      <c r="H160" s="97" t="s">
        <v>325</v>
      </c>
      <c r="I160" s="65"/>
      <c r="J160" s="65"/>
      <c r="K160" s="65"/>
    </row>
    <row r="161" spans="4:11">
      <c r="F161" s="86"/>
    </row>
    <row r="162" spans="4:11">
      <c r="D162" s="67" t="s">
        <v>250</v>
      </c>
      <c r="E162" s="67"/>
      <c r="F162" s="85" t="s">
        <v>251</v>
      </c>
      <c r="G162" s="67" t="s">
        <v>156</v>
      </c>
      <c r="H162" s="98" t="s">
        <v>297</v>
      </c>
      <c r="I162" s="67"/>
      <c r="J162" s="67"/>
      <c r="K162" s="67"/>
    </row>
    <row r="163" spans="4:11">
      <c r="F163" s="86"/>
    </row>
    <row r="164" spans="4:11">
      <c r="D164" s="89" t="s">
        <v>252</v>
      </c>
      <c r="E164" s="89"/>
      <c r="F164" s="90" t="s">
        <v>296</v>
      </c>
      <c r="G164" s="89" t="s">
        <v>20</v>
      </c>
      <c r="H164" s="96" t="s">
        <v>290</v>
      </c>
      <c r="I164" s="89"/>
      <c r="J164" s="89"/>
      <c r="K164" s="89"/>
    </row>
    <row r="165" spans="4:11">
      <c r="D165" s="64" t="s">
        <v>253</v>
      </c>
      <c r="E165" s="64"/>
      <c r="F165" s="83" t="s">
        <v>299</v>
      </c>
      <c r="G165" s="64" t="s">
        <v>275</v>
      </c>
      <c r="H165" s="64"/>
      <c r="I165" s="64"/>
      <c r="J165" s="64"/>
      <c r="K165" s="64"/>
    </row>
    <row r="166" spans="4:11">
      <c r="D166" s="65" t="s">
        <v>254</v>
      </c>
      <c r="E166" s="65"/>
      <c r="F166" s="84" t="s">
        <v>298</v>
      </c>
      <c r="G166" s="65" t="s">
        <v>276</v>
      </c>
      <c r="H166" s="65"/>
      <c r="I166" s="65"/>
      <c r="J166" s="65"/>
      <c r="K166" s="65"/>
    </row>
    <row r="167" spans="4:11">
      <c r="F167" s="86"/>
    </row>
    <row r="168" spans="4:11">
      <c r="D168" s="89" t="s">
        <v>255</v>
      </c>
      <c r="E168" s="89"/>
      <c r="F168" s="90" t="s">
        <v>304</v>
      </c>
      <c r="G168" s="89" t="s">
        <v>260</v>
      </c>
      <c r="H168" s="96" t="s">
        <v>290</v>
      </c>
      <c r="I168" s="89"/>
      <c r="J168" s="89"/>
      <c r="K168" s="89"/>
    </row>
    <row r="169" spans="4:11">
      <c r="D169" s="64" t="s">
        <v>256</v>
      </c>
      <c r="E169" s="64"/>
      <c r="F169" s="83" t="s">
        <v>305</v>
      </c>
      <c r="G169" s="64" t="s">
        <v>261</v>
      </c>
      <c r="H169" s="64"/>
      <c r="I169" s="64"/>
      <c r="J169" s="64"/>
      <c r="K169" s="64"/>
    </row>
    <row r="170" spans="4:11">
      <c r="D170" s="64" t="s">
        <v>257</v>
      </c>
      <c r="E170" s="64"/>
      <c r="F170" s="83" t="s">
        <v>306</v>
      </c>
      <c r="G170" s="64" t="s">
        <v>262</v>
      </c>
      <c r="H170" s="64"/>
      <c r="I170" s="64"/>
      <c r="J170" s="64"/>
      <c r="K170" s="64"/>
    </row>
    <row r="171" spans="4:11">
      <c r="D171" s="65" t="s">
        <v>291</v>
      </c>
      <c r="E171" s="65"/>
      <c r="F171" s="84" t="s">
        <v>307</v>
      </c>
      <c r="G171" s="65" t="s">
        <v>263</v>
      </c>
      <c r="H171" s="65"/>
      <c r="I171" s="65"/>
      <c r="J171" s="65"/>
      <c r="K171" s="65"/>
    </row>
    <row r="172" spans="4:11">
      <c r="F172" s="86"/>
    </row>
    <row r="173" spans="4:11">
      <c r="D173" s="89" t="s">
        <v>303</v>
      </c>
      <c r="E173" s="89"/>
      <c r="F173" s="90" t="s">
        <v>300</v>
      </c>
      <c r="G173" s="89" t="s">
        <v>308</v>
      </c>
      <c r="H173" s="96" t="s">
        <v>310</v>
      </c>
      <c r="I173" s="89"/>
      <c r="J173" s="89"/>
      <c r="K173" s="89"/>
    </row>
    <row r="174" spans="4:11">
      <c r="D174" s="65" t="s">
        <v>302</v>
      </c>
      <c r="E174" s="65"/>
      <c r="F174" s="84" t="s">
        <v>301</v>
      </c>
      <c r="G174" s="65" t="s">
        <v>309</v>
      </c>
      <c r="H174" s="97" t="s">
        <v>311</v>
      </c>
      <c r="I174" s="65"/>
      <c r="J174" s="65"/>
      <c r="K174" s="65"/>
    </row>
    <row r="175" spans="4:11">
      <c r="F175" s="86"/>
    </row>
    <row r="176" spans="4:11">
      <c r="D176" s="89" t="s">
        <v>265</v>
      </c>
      <c r="E176" s="89"/>
      <c r="F176" s="90" t="s">
        <v>294</v>
      </c>
      <c r="G176" s="89" t="s">
        <v>277</v>
      </c>
      <c r="H176" s="94" t="s">
        <v>278</v>
      </c>
      <c r="I176" s="89"/>
      <c r="J176" s="89"/>
      <c r="K176" s="89"/>
    </row>
    <row r="177" spans="4:11">
      <c r="D177" s="64" t="s">
        <v>282</v>
      </c>
      <c r="E177" s="64"/>
      <c r="F177" s="83" t="s">
        <v>295</v>
      </c>
      <c r="G177" s="64" t="s">
        <v>283</v>
      </c>
      <c r="H177" s="92" t="s">
        <v>286</v>
      </c>
      <c r="I177" s="64"/>
      <c r="J177" s="64"/>
      <c r="K177" s="64"/>
    </row>
    <row r="178" spans="4:11">
      <c r="D178" s="64" t="s">
        <v>258</v>
      </c>
      <c r="E178" s="64"/>
      <c r="F178" s="83" t="s">
        <v>314</v>
      </c>
      <c r="G178" s="64" t="s">
        <v>264</v>
      </c>
      <c r="H178" s="93" t="s">
        <v>289</v>
      </c>
      <c r="I178" s="64"/>
      <c r="J178" s="64"/>
      <c r="K178" s="64"/>
    </row>
    <row r="179" spans="4:11">
      <c r="D179" s="64" t="s">
        <v>284</v>
      </c>
      <c r="E179" s="64"/>
      <c r="F179" s="83" t="s">
        <v>293</v>
      </c>
      <c r="G179" s="64" t="s">
        <v>285</v>
      </c>
      <c r="H179" s="92" t="s">
        <v>286</v>
      </c>
      <c r="I179" s="64"/>
      <c r="J179" s="64"/>
      <c r="K179" s="64"/>
    </row>
    <row r="180" spans="4:11">
      <c r="D180" s="64" t="s">
        <v>259</v>
      </c>
      <c r="E180" s="64"/>
      <c r="F180" s="83" t="s">
        <v>292</v>
      </c>
      <c r="G180" s="64" t="s">
        <v>280</v>
      </c>
      <c r="H180" s="92" t="s">
        <v>279</v>
      </c>
      <c r="I180" s="64"/>
      <c r="J180" s="64"/>
      <c r="K180" s="64"/>
    </row>
    <row r="181" spans="4:11">
      <c r="D181" s="64"/>
      <c r="E181" s="64"/>
      <c r="F181" s="83"/>
      <c r="G181" s="95" t="s">
        <v>287</v>
      </c>
      <c r="H181" s="95" t="s">
        <v>288</v>
      </c>
      <c r="I181" s="64"/>
      <c r="J181" s="64"/>
      <c r="K181" s="64"/>
    </row>
    <row r="182" spans="4:11">
      <c r="D182" s="64" t="s">
        <v>190</v>
      </c>
      <c r="E182" s="64"/>
      <c r="F182" s="83" t="s">
        <v>323</v>
      </c>
      <c r="G182" s="64" t="s">
        <v>281</v>
      </c>
      <c r="H182" s="100" t="s">
        <v>329</v>
      </c>
      <c r="I182" s="64"/>
      <c r="J182" s="64"/>
      <c r="K182" s="64"/>
    </row>
    <row r="183" spans="4:11">
      <c r="D183" s="65" t="s">
        <v>246</v>
      </c>
      <c r="E183" s="65"/>
      <c r="F183" s="84" t="s">
        <v>242</v>
      </c>
      <c r="G183" s="65" t="s">
        <v>266</v>
      </c>
      <c r="H183" s="97" t="s">
        <v>289</v>
      </c>
      <c r="I183" s="65"/>
      <c r="J183" s="65"/>
      <c r="K183" s="65"/>
    </row>
    <row r="187" spans="4:11">
      <c r="F187" s="91" t="s">
        <v>315</v>
      </c>
    </row>
    <row r="188" spans="4:11">
      <c r="F188" s="91" t="s">
        <v>316</v>
      </c>
    </row>
    <row r="189" spans="4:11">
      <c r="F189" s="91" t="s">
        <v>317</v>
      </c>
    </row>
    <row r="190" spans="4:11">
      <c r="F190" s="91" t="s">
        <v>318</v>
      </c>
    </row>
    <row r="191" spans="4:11">
      <c r="F191" s="91" t="s">
        <v>319</v>
      </c>
    </row>
    <row r="192" spans="4:11">
      <c r="F192" s="91" t="s">
        <v>320</v>
      </c>
    </row>
    <row r="193" spans="6:6">
      <c r="F193" s="91" t="s">
        <v>321</v>
      </c>
    </row>
    <row r="194" spans="6:6">
      <c r="F194" s="91" t="s">
        <v>322</v>
      </c>
    </row>
  </sheetData>
  <mergeCells count="123">
    <mergeCell ref="B31:B32"/>
    <mergeCell ref="B29:B30"/>
    <mergeCell ref="B27:B28"/>
    <mergeCell ref="B25:B26"/>
    <mergeCell ref="B47:B48"/>
    <mergeCell ref="B49:B50"/>
    <mergeCell ref="B51:B52"/>
    <mergeCell ref="B5:B6"/>
    <mergeCell ref="B15:B16"/>
    <mergeCell ref="B13:B14"/>
    <mergeCell ref="B11:B12"/>
    <mergeCell ref="B9:B10"/>
    <mergeCell ref="B7:B8"/>
    <mergeCell ref="B103:B104"/>
    <mergeCell ref="B105:B106"/>
    <mergeCell ref="B107:B108"/>
    <mergeCell ref="B109:B110"/>
    <mergeCell ref="B111:B112"/>
    <mergeCell ref="B53:B54"/>
    <mergeCell ref="B55:B56"/>
    <mergeCell ref="B87:B88"/>
    <mergeCell ref="B59:B60"/>
    <mergeCell ref="B61:B62"/>
    <mergeCell ref="B63:B64"/>
    <mergeCell ref="B65:B66"/>
    <mergeCell ref="B67:B68"/>
    <mergeCell ref="B69:B70"/>
    <mergeCell ref="B57:B58"/>
    <mergeCell ref="M9:M10"/>
    <mergeCell ref="M7:M8"/>
    <mergeCell ref="M5:M6"/>
    <mergeCell ref="M15:M16"/>
    <mergeCell ref="B101:B102"/>
    <mergeCell ref="B89:B90"/>
    <mergeCell ref="B91:B92"/>
    <mergeCell ref="B93:B94"/>
    <mergeCell ref="B95:B96"/>
    <mergeCell ref="B97:B98"/>
    <mergeCell ref="B99:B100"/>
    <mergeCell ref="B71:B72"/>
    <mergeCell ref="B73:B74"/>
    <mergeCell ref="B81:B82"/>
    <mergeCell ref="B83:B84"/>
    <mergeCell ref="B85:B86"/>
    <mergeCell ref="B23:B24"/>
    <mergeCell ref="B21:B22"/>
    <mergeCell ref="B19:B20"/>
    <mergeCell ref="B17:B18"/>
    <mergeCell ref="B43:B44"/>
    <mergeCell ref="B45:B46"/>
    <mergeCell ref="B35:B36"/>
    <mergeCell ref="B33:B34"/>
    <mergeCell ref="M55:M56"/>
    <mergeCell ref="M17:M18"/>
    <mergeCell ref="K49:K50"/>
    <mergeCell ref="K87:K88"/>
    <mergeCell ref="M85:M86"/>
    <mergeCell ref="M87:M88"/>
    <mergeCell ref="M89:M90"/>
    <mergeCell ref="M91:M92"/>
    <mergeCell ref="K11:K12"/>
    <mergeCell ref="M81:M82"/>
    <mergeCell ref="M83:M84"/>
    <mergeCell ref="M43:M44"/>
    <mergeCell ref="M45:M46"/>
    <mergeCell ref="M47:M48"/>
    <mergeCell ref="M49:M50"/>
    <mergeCell ref="M51:M52"/>
    <mergeCell ref="M53:M54"/>
    <mergeCell ref="M13:M14"/>
    <mergeCell ref="M11:M12"/>
    <mergeCell ref="C9:C10"/>
    <mergeCell ref="C7:C8"/>
    <mergeCell ref="C5:C6"/>
    <mergeCell ref="C35:C36"/>
    <mergeCell ref="C33:C34"/>
    <mergeCell ref="C31:C32"/>
    <mergeCell ref="C29:C30"/>
    <mergeCell ref="C27:C28"/>
    <mergeCell ref="C25:C26"/>
    <mergeCell ref="C23:C24"/>
    <mergeCell ref="C21:C22"/>
    <mergeCell ref="C19:C20"/>
    <mergeCell ref="C17:C18"/>
    <mergeCell ref="C15:C16"/>
    <mergeCell ref="C13:C14"/>
    <mergeCell ref="C11:C12"/>
    <mergeCell ref="C81:C82"/>
    <mergeCell ref="C83:C84"/>
    <mergeCell ref="C85:C86"/>
    <mergeCell ref="C87:C88"/>
    <mergeCell ref="C89:C90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111:C112"/>
    <mergeCell ref="M145:M146"/>
    <mergeCell ref="M147:M148"/>
    <mergeCell ref="C101:C102"/>
    <mergeCell ref="C103:C104"/>
    <mergeCell ref="C105:C106"/>
    <mergeCell ref="C107:C108"/>
    <mergeCell ref="C109:C110"/>
    <mergeCell ref="C91:C92"/>
    <mergeCell ref="C93:C94"/>
    <mergeCell ref="C95:C96"/>
    <mergeCell ref="C97:C98"/>
    <mergeCell ref="C99:C100"/>
    <mergeCell ref="M93:M94"/>
    <mergeCell ref="M95:M96"/>
  </mergeCells>
  <pageMargins left="0.25" right="0.25" top="0.75" bottom="0.75" header="0.3" footer="0.3"/>
  <pageSetup paperSize="9" scale="7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2:P214"/>
  <sheetViews>
    <sheetView tabSelected="1" topLeftCell="A101" zoomScaleNormal="100" workbookViewId="0">
      <selection activeCell="N145" sqref="N145"/>
    </sheetView>
  </sheetViews>
  <sheetFormatPr baseColWidth="10" defaultRowHeight="15"/>
  <cols>
    <col min="1" max="1" width="2.7109375" customWidth="1"/>
    <col min="2" max="4" width="4.7109375" customWidth="1"/>
    <col min="5" max="12" width="16.7109375" customWidth="1"/>
    <col min="13" max="13" width="5.7109375" customWidth="1"/>
    <col min="14" max="14" width="26.85546875" customWidth="1"/>
  </cols>
  <sheetData>
    <row r="2" spans="2:14">
      <c r="B2" s="62" t="s">
        <v>212</v>
      </c>
      <c r="C2" s="62"/>
      <c r="D2" s="62"/>
      <c r="E2" s="119"/>
      <c r="F2" s="149"/>
      <c r="G2" s="1"/>
      <c r="H2" s="1"/>
      <c r="I2" s="1"/>
      <c r="J2" s="1"/>
      <c r="K2" s="1"/>
      <c r="L2" s="1"/>
    </row>
    <row r="3" spans="2:14">
      <c r="B3" s="104" t="s">
        <v>364</v>
      </c>
      <c r="C3" s="43"/>
      <c r="D3" s="43"/>
      <c r="E3" s="44">
        <v>8</v>
      </c>
      <c r="F3" s="43">
        <v>7</v>
      </c>
      <c r="G3" s="43">
        <v>19</v>
      </c>
      <c r="H3" s="43">
        <v>4</v>
      </c>
      <c r="I3" s="43">
        <v>6</v>
      </c>
      <c r="J3" s="43">
        <v>5</v>
      </c>
      <c r="K3" s="43">
        <v>22</v>
      </c>
      <c r="L3" s="43">
        <v>23</v>
      </c>
      <c r="N3" s="44" t="s">
        <v>239</v>
      </c>
    </row>
    <row r="4" spans="2:14">
      <c r="B4" s="101"/>
      <c r="C4" s="105" t="s">
        <v>365</v>
      </c>
      <c r="D4" s="105"/>
      <c r="E4" s="103">
        <v>3</v>
      </c>
      <c r="F4" s="102">
        <v>5</v>
      </c>
      <c r="G4" s="102">
        <v>7</v>
      </c>
      <c r="H4" s="102">
        <v>13</v>
      </c>
      <c r="I4" s="102">
        <v>9</v>
      </c>
      <c r="J4" s="102">
        <v>11</v>
      </c>
      <c r="K4" s="102">
        <v>15</v>
      </c>
      <c r="L4" s="102">
        <v>17</v>
      </c>
      <c r="N4" s="44"/>
    </row>
    <row r="5" spans="2:14">
      <c r="B5" s="101"/>
      <c r="C5" s="105"/>
      <c r="D5" s="121" t="s">
        <v>367</v>
      </c>
      <c r="E5" s="122"/>
      <c r="F5" s="122">
        <v>5</v>
      </c>
      <c r="G5" s="122">
        <v>7</v>
      </c>
      <c r="H5" s="122">
        <v>2</v>
      </c>
      <c r="I5" s="122">
        <v>4</v>
      </c>
      <c r="J5" s="122">
        <v>3</v>
      </c>
      <c r="K5" s="122">
        <v>8</v>
      </c>
      <c r="L5" s="122">
        <v>9</v>
      </c>
      <c r="N5" s="120"/>
    </row>
    <row r="6" spans="2:14">
      <c r="B6" s="140">
        <v>32</v>
      </c>
      <c r="C6" s="143">
        <v>30</v>
      </c>
      <c r="D6" s="142">
        <f>VLOOKUP(C6,Pinout!$B:$D,3,FALSE)</f>
        <v>24</v>
      </c>
      <c r="E6" s="75"/>
      <c r="F6" s="41" t="s">
        <v>141</v>
      </c>
      <c r="G6" s="26"/>
      <c r="H6" s="26"/>
      <c r="I6" s="26"/>
      <c r="J6" s="26"/>
      <c r="K6" s="37" t="s">
        <v>140</v>
      </c>
      <c r="L6" s="26"/>
      <c r="N6" s="133" t="s">
        <v>194</v>
      </c>
    </row>
    <row r="7" spans="2:14">
      <c r="B7" s="140"/>
      <c r="C7" s="143"/>
      <c r="D7" s="142"/>
      <c r="E7" s="78"/>
      <c r="F7" s="42"/>
      <c r="G7" s="28"/>
      <c r="H7" s="28"/>
      <c r="I7" s="28"/>
      <c r="J7" s="28"/>
      <c r="K7" s="38"/>
      <c r="L7" s="28"/>
      <c r="N7" s="133"/>
    </row>
    <row r="8" spans="2:14">
      <c r="B8" s="140">
        <v>28</v>
      </c>
      <c r="C8" s="143">
        <v>26</v>
      </c>
      <c r="D8" s="142">
        <f>VLOOKUP(C8,Pinout!$B:$D,3,FALSE)</f>
        <v>20</v>
      </c>
      <c r="E8" s="21"/>
      <c r="F8" s="21"/>
      <c r="G8" s="23" t="s">
        <v>139</v>
      </c>
      <c r="H8" s="24"/>
      <c r="I8" s="24"/>
      <c r="J8" s="24"/>
      <c r="K8" s="23" t="s">
        <v>138</v>
      </c>
      <c r="L8" s="24"/>
      <c r="N8" s="132" t="s">
        <v>193</v>
      </c>
    </row>
    <row r="9" spans="2:14">
      <c r="B9" s="140"/>
      <c r="C9" s="143"/>
      <c r="D9" s="142"/>
      <c r="E9" s="21"/>
      <c r="F9" s="21"/>
      <c r="G9" s="23"/>
      <c r="H9" s="24"/>
      <c r="I9" s="24"/>
      <c r="J9" s="24"/>
      <c r="K9" s="23"/>
      <c r="L9" s="24"/>
      <c r="N9" s="132"/>
    </row>
    <row r="10" spans="2:14">
      <c r="B10" s="140">
        <v>26</v>
      </c>
      <c r="C10" s="143">
        <v>22</v>
      </c>
      <c r="D10" s="142">
        <f>VLOOKUP(C10,Pinout!$B:$D,3,FALSE)</f>
        <v>18</v>
      </c>
      <c r="E10" s="19" t="s">
        <v>179</v>
      </c>
      <c r="F10" s="19" t="s">
        <v>2</v>
      </c>
      <c r="G10" s="25" t="s">
        <v>70</v>
      </c>
      <c r="H10" s="25">
        <v>1</v>
      </c>
      <c r="I10" s="25" t="s">
        <v>24</v>
      </c>
      <c r="J10" s="25" t="s">
        <v>35</v>
      </c>
      <c r="K10" s="35" t="s">
        <v>208</v>
      </c>
      <c r="L10" s="26"/>
      <c r="N10" s="130" t="s">
        <v>209</v>
      </c>
    </row>
    <row r="11" spans="2:14">
      <c r="B11" s="140"/>
      <c r="C11" s="143"/>
      <c r="D11" s="142"/>
      <c r="E11" s="20"/>
      <c r="F11" s="20" t="s">
        <v>136</v>
      </c>
      <c r="G11" s="27"/>
      <c r="H11" s="27"/>
      <c r="I11" s="27"/>
      <c r="J11" s="27"/>
      <c r="K11" s="36" t="s">
        <v>137</v>
      </c>
      <c r="L11" s="28"/>
      <c r="N11" s="131"/>
    </row>
    <row r="12" spans="2:14">
      <c r="B12" s="140">
        <v>31</v>
      </c>
      <c r="C12" s="143">
        <v>18</v>
      </c>
      <c r="D12" s="142">
        <f>VLOOKUP(C12,Pinout!$B:$D,3,FALSE)</f>
        <v>23</v>
      </c>
      <c r="E12" s="123" t="s">
        <v>233</v>
      </c>
      <c r="F12" s="29" t="s">
        <v>58</v>
      </c>
      <c r="G12" s="22" t="s">
        <v>180</v>
      </c>
      <c r="H12" s="22">
        <v>2</v>
      </c>
      <c r="I12" s="22" t="s">
        <v>25</v>
      </c>
      <c r="J12" s="22" t="s">
        <v>36</v>
      </c>
      <c r="K12" s="22" t="s">
        <v>46</v>
      </c>
      <c r="L12" s="24"/>
      <c r="N12" s="145" t="s">
        <v>330</v>
      </c>
    </row>
    <row r="13" spans="2:14">
      <c r="B13" s="140"/>
      <c r="C13" s="143"/>
      <c r="D13" s="142"/>
      <c r="E13" s="123" t="s">
        <v>144</v>
      </c>
      <c r="F13" s="29"/>
      <c r="G13" s="22"/>
      <c r="H13" s="22"/>
      <c r="I13" s="22"/>
      <c r="J13" s="22"/>
      <c r="K13" s="22"/>
      <c r="L13" s="24"/>
      <c r="N13" s="146"/>
    </row>
    <row r="14" spans="2:14">
      <c r="B14" s="140">
        <v>17</v>
      </c>
      <c r="C14" s="143">
        <v>14</v>
      </c>
      <c r="D14" s="142">
        <f>VLOOKUP(C14,Pinout!$B:$D,3,FALSE)</f>
        <v>15</v>
      </c>
      <c r="E14" s="19" t="s">
        <v>62</v>
      </c>
      <c r="F14" s="19" t="s">
        <v>59</v>
      </c>
      <c r="G14" s="25" t="s">
        <v>60</v>
      </c>
      <c r="H14" s="25">
        <v>3</v>
      </c>
      <c r="I14" s="25" t="s">
        <v>26</v>
      </c>
      <c r="J14" s="25" t="s">
        <v>37</v>
      </c>
      <c r="K14" s="25" t="s">
        <v>47</v>
      </c>
      <c r="L14" s="26"/>
      <c r="N14" s="137" t="s">
        <v>105</v>
      </c>
    </row>
    <row r="15" spans="2:14">
      <c r="B15" s="140"/>
      <c r="C15" s="143"/>
      <c r="D15" s="142"/>
      <c r="E15" s="20"/>
      <c r="F15" s="20"/>
      <c r="G15" s="27"/>
      <c r="H15" s="27"/>
      <c r="I15" s="27"/>
      <c r="J15" s="27"/>
      <c r="K15" s="27"/>
      <c r="L15" s="28"/>
      <c r="N15" s="137"/>
    </row>
    <row r="16" spans="2:14">
      <c r="B16" s="140">
        <v>25</v>
      </c>
      <c r="C16" s="143">
        <v>10</v>
      </c>
      <c r="D16" s="142">
        <f>VLOOKUP(C16,Pinout!$B:$D,3,FALSE)</f>
        <v>17</v>
      </c>
      <c r="E16" s="29" t="s">
        <v>39</v>
      </c>
      <c r="F16" s="29">
        <v>5</v>
      </c>
      <c r="G16" s="22" t="s">
        <v>28</v>
      </c>
      <c r="H16" s="22">
        <v>4</v>
      </c>
      <c r="I16" s="22" t="s">
        <v>27</v>
      </c>
      <c r="J16" s="22" t="s">
        <v>38</v>
      </c>
      <c r="K16" s="22" t="s">
        <v>48</v>
      </c>
      <c r="L16" s="22" t="s">
        <v>49</v>
      </c>
      <c r="N16" s="136" t="s">
        <v>83</v>
      </c>
    </row>
    <row r="17" spans="2:14">
      <c r="B17" s="140"/>
      <c r="C17" s="143"/>
      <c r="D17" s="142"/>
      <c r="E17" s="29"/>
      <c r="F17" s="29"/>
      <c r="G17" s="22"/>
      <c r="H17" s="22"/>
      <c r="I17" s="22"/>
      <c r="J17" s="22"/>
      <c r="K17" s="22"/>
      <c r="L17" s="22"/>
      <c r="N17" s="136"/>
    </row>
    <row r="18" spans="2:14">
      <c r="B18" s="140">
        <v>33</v>
      </c>
      <c r="C18" s="143">
        <v>6</v>
      </c>
      <c r="D18" s="142">
        <f>VLOOKUP(C18,Pinout!$B:$D,3,FALSE)</f>
        <v>26</v>
      </c>
      <c r="E18" s="19" t="s">
        <v>61</v>
      </c>
      <c r="F18" s="19" t="s">
        <v>65</v>
      </c>
      <c r="G18" s="25" t="s">
        <v>163</v>
      </c>
      <c r="H18" s="25" t="s">
        <v>66</v>
      </c>
      <c r="I18" s="26"/>
      <c r="J18" s="124" t="s">
        <v>104</v>
      </c>
      <c r="K18" s="25" t="s">
        <v>34</v>
      </c>
      <c r="L18" s="25" t="s">
        <v>54</v>
      </c>
      <c r="N18" s="139" t="s">
        <v>84</v>
      </c>
    </row>
    <row r="19" spans="2:14">
      <c r="B19" s="140"/>
      <c r="C19" s="143"/>
      <c r="D19" s="142"/>
      <c r="E19" s="20"/>
      <c r="F19" s="20"/>
      <c r="G19" s="27"/>
      <c r="H19" s="27"/>
      <c r="I19" s="28"/>
      <c r="J19" s="125" t="s">
        <v>126</v>
      </c>
      <c r="K19" s="27"/>
      <c r="L19" s="27"/>
      <c r="N19" s="139"/>
    </row>
    <row r="20" spans="2:14">
      <c r="B20" s="140">
        <v>15</v>
      </c>
      <c r="C20" s="143">
        <v>2</v>
      </c>
      <c r="D20" s="142">
        <f>VLOOKUP(C20,Pinout!$B:$D,3,FALSE)</f>
        <v>13</v>
      </c>
      <c r="E20" s="19" t="s">
        <v>40</v>
      </c>
      <c r="F20" s="19">
        <v>6</v>
      </c>
      <c r="G20" s="35" t="s">
        <v>219</v>
      </c>
      <c r="H20" s="25">
        <v>7</v>
      </c>
      <c r="I20" s="25" t="s">
        <v>30</v>
      </c>
      <c r="J20" s="25" t="s">
        <v>41</v>
      </c>
      <c r="K20" s="25" t="s">
        <v>51</v>
      </c>
      <c r="L20" s="25" t="s">
        <v>50</v>
      </c>
      <c r="N20" s="138" t="s">
        <v>82</v>
      </c>
    </row>
    <row r="21" spans="2:14">
      <c r="B21" s="140"/>
      <c r="C21" s="143"/>
      <c r="D21" s="142"/>
      <c r="E21" s="20"/>
      <c r="F21" s="20"/>
      <c r="G21" s="36" t="s">
        <v>145</v>
      </c>
      <c r="H21" s="27"/>
      <c r="I21" s="27"/>
      <c r="J21" s="27"/>
      <c r="K21" s="27"/>
      <c r="L21" s="27"/>
      <c r="N21" s="138"/>
    </row>
    <row r="22" spans="2:14">
      <c r="B22" s="140">
        <v>9</v>
      </c>
      <c r="C22" s="143">
        <v>4</v>
      </c>
      <c r="D22" s="142">
        <f>VLOOKUP(C22,Pinout!$B:$D,3,FALSE)</f>
        <v>10</v>
      </c>
      <c r="E22" s="29" t="s">
        <v>79</v>
      </c>
      <c r="F22" s="29" t="s">
        <v>81</v>
      </c>
      <c r="G22" s="22" t="s">
        <v>207</v>
      </c>
      <c r="H22" s="22">
        <v>8</v>
      </c>
      <c r="I22" s="22" t="s">
        <v>77</v>
      </c>
      <c r="J22" s="22" t="s">
        <v>78</v>
      </c>
      <c r="K22" s="22" t="s">
        <v>80</v>
      </c>
      <c r="L22" s="24"/>
    </row>
    <row r="23" spans="2:14">
      <c r="B23" s="140"/>
      <c r="C23" s="143"/>
      <c r="D23" s="142"/>
      <c r="E23" s="29"/>
      <c r="F23" s="29" t="s">
        <v>133</v>
      </c>
      <c r="G23" s="22" t="s">
        <v>135</v>
      </c>
      <c r="H23" s="22"/>
      <c r="I23" s="22"/>
      <c r="J23" s="22"/>
      <c r="K23" s="22" t="s">
        <v>134</v>
      </c>
      <c r="L23" s="24"/>
      <c r="N23" s="71" t="s">
        <v>375</v>
      </c>
    </row>
    <row r="24" spans="2:14">
      <c r="B24" s="140">
        <v>16</v>
      </c>
      <c r="C24" s="143">
        <v>8</v>
      </c>
      <c r="D24" s="142">
        <f>VLOOKUP(C24,Pinout!$B:$D,3,FALSE)</f>
        <v>14</v>
      </c>
      <c r="E24" s="75"/>
      <c r="F24" s="19" t="s">
        <v>64</v>
      </c>
      <c r="G24" s="25" t="s">
        <v>63</v>
      </c>
      <c r="H24" s="25">
        <v>9</v>
      </c>
      <c r="I24" s="25" t="s">
        <v>31</v>
      </c>
      <c r="J24" s="25" t="s">
        <v>42</v>
      </c>
      <c r="K24" s="25" t="s">
        <v>52</v>
      </c>
      <c r="L24" s="26"/>
      <c r="N24" s="71" t="s">
        <v>369</v>
      </c>
    </row>
    <row r="25" spans="2:14">
      <c r="B25" s="140"/>
      <c r="C25" s="143"/>
      <c r="D25" s="142"/>
      <c r="E25" s="78"/>
      <c r="F25" s="20"/>
      <c r="G25" s="27"/>
      <c r="H25" s="27"/>
      <c r="I25" s="27"/>
      <c r="J25" s="27"/>
      <c r="K25" s="27" t="s">
        <v>132</v>
      </c>
      <c r="L25" s="28"/>
      <c r="N25" s="71" t="s">
        <v>370</v>
      </c>
    </row>
    <row r="26" spans="2:14">
      <c r="B26" s="140">
        <v>27</v>
      </c>
      <c r="C26" s="143">
        <v>12</v>
      </c>
      <c r="D26" s="142">
        <f>VLOOKUP(C26,Pinout!$B:$D,3,FALSE)</f>
        <v>19</v>
      </c>
      <c r="E26" s="32" t="s">
        <v>214</v>
      </c>
      <c r="F26" s="32" t="s">
        <v>218</v>
      </c>
      <c r="G26" s="33" t="s">
        <v>215</v>
      </c>
      <c r="H26" s="22">
        <v>0</v>
      </c>
      <c r="I26" s="22" t="s">
        <v>32</v>
      </c>
      <c r="J26" s="33" t="s">
        <v>216</v>
      </c>
      <c r="K26" s="34" t="s">
        <v>234</v>
      </c>
      <c r="L26" s="33" t="s">
        <v>217</v>
      </c>
      <c r="N26" s="71" t="s">
        <v>373</v>
      </c>
    </row>
    <row r="27" spans="2:14">
      <c r="B27" s="140"/>
      <c r="C27" s="143"/>
      <c r="D27" s="142"/>
      <c r="E27" s="32" t="s">
        <v>131</v>
      </c>
      <c r="F27" s="32" t="s">
        <v>128</v>
      </c>
      <c r="G27" s="33" t="s">
        <v>130</v>
      </c>
      <c r="H27" s="22"/>
      <c r="I27" s="22"/>
      <c r="J27" s="33" t="s">
        <v>129</v>
      </c>
      <c r="K27" s="34" t="s">
        <v>126</v>
      </c>
      <c r="L27" s="33" t="s">
        <v>127</v>
      </c>
      <c r="N27" s="71" t="s">
        <v>374</v>
      </c>
    </row>
    <row r="28" spans="2:14">
      <c r="B28" s="140">
        <v>29</v>
      </c>
      <c r="C28" s="143">
        <v>16</v>
      </c>
      <c r="D28" s="142">
        <f>VLOOKUP(C28,Pinout!$B:$D,3,FALSE)</f>
        <v>21</v>
      </c>
      <c r="E28" s="147" t="s">
        <v>156</v>
      </c>
      <c r="F28" s="19" t="s">
        <v>158</v>
      </c>
      <c r="G28" s="30" t="s">
        <v>155</v>
      </c>
      <c r="H28" s="25" t="s">
        <v>18</v>
      </c>
      <c r="I28" s="30" t="s">
        <v>154</v>
      </c>
      <c r="J28" s="30" t="s">
        <v>20</v>
      </c>
      <c r="K28" s="26"/>
      <c r="L28" s="25" t="s">
        <v>161</v>
      </c>
      <c r="N28" s="71" t="s">
        <v>372</v>
      </c>
    </row>
    <row r="29" spans="2:14">
      <c r="B29" s="140"/>
      <c r="C29" s="143"/>
      <c r="D29" s="142"/>
      <c r="E29" s="148"/>
      <c r="F29" s="20"/>
      <c r="G29" s="31"/>
      <c r="H29" s="27"/>
      <c r="I29" s="31"/>
      <c r="J29" s="31"/>
      <c r="K29" s="28"/>
      <c r="L29" s="27"/>
      <c r="N29" s="71" t="s">
        <v>371</v>
      </c>
    </row>
    <row r="30" spans="2:14">
      <c r="B30" s="140">
        <v>24</v>
      </c>
      <c r="C30" s="143">
        <v>20</v>
      </c>
      <c r="D30" s="142">
        <f>VLOOKUP(C30,Pinout!$B:$D,3,FALSE)</f>
        <v>16</v>
      </c>
      <c r="E30" s="21"/>
      <c r="F30" s="29" t="s">
        <v>157</v>
      </c>
      <c r="G30" s="24"/>
      <c r="H30" s="22" t="s">
        <v>14</v>
      </c>
      <c r="I30" s="24"/>
      <c r="J30" s="24"/>
      <c r="K30" s="24"/>
      <c r="L30" s="22" t="s">
        <v>160</v>
      </c>
    </row>
    <row r="31" spans="2:14">
      <c r="B31" s="140"/>
      <c r="C31" s="143"/>
      <c r="D31" s="142"/>
      <c r="E31" s="21"/>
      <c r="F31" s="29"/>
      <c r="G31" s="24"/>
      <c r="H31" s="22"/>
      <c r="I31" s="24"/>
      <c r="J31" s="24"/>
      <c r="K31" s="24"/>
      <c r="L31" s="22"/>
    </row>
    <row r="32" spans="2:14">
      <c r="B32" s="140">
        <v>14</v>
      </c>
      <c r="C32" s="143">
        <v>24</v>
      </c>
      <c r="D32" s="142">
        <f>VLOOKUP(C32,Pinout!$B:$D,3,FALSE)</f>
        <v>12</v>
      </c>
      <c r="E32" s="75"/>
      <c r="F32" s="19" t="s">
        <v>146</v>
      </c>
      <c r="G32" s="26"/>
      <c r="H32" s="25" t="s">
        <v>147</v>
      </c>
      <c r="I32" s="37" t="s">
        <v>124</v>
      </c>
      <c r="J32" s="25" t="s">
        <v>55</v>
      </c>
      <c r="K32" s="30" t="s">
        <v>149</v>
      </c>
      <c r="L32" s="30" t="s">
        <v>148</v>
      </c>
    </row>
    <row r="33" spans="2:14">
      <c r="B33" s="141"/>
      <c r="C33" s="144"/>
      <c r="D33" s="142"/>
      <c r="E33" s="78"/>
      <c r="F33" s="20"/>
      <c r="G33" s="28"/>
      <c r="H33" s="27"/>
      <c r="I33" s="38"/>
      <c r="J33" s="27"/>
      <c r="K33" s="31" t="s">
        <v>151</v>
      </c>
      <c r="L33" s="31" t="s">
        <v>150</v>
      </c>
    </row>
    <row r="34" spans="2:14">
      <c r="B34" s="140">
        <v>30</v>
      </c>
      <c r="C34" s="143">
        <v>28</v>
      </c>
      <c r="D34" s="142">
        <f>VLOOKUP(C34,Pinout!$B:$D,3,FALSE)</f>
        <v>22</v>
      </c>
      <c r="E34" s="19" t="s">
        <v>162</v>
      </c>
      <c r="F34" s="19" t="s">
        <v>8</v>
      </c>
      <c r="G34" s="26"/>
      <c r="H34" s="25" t="s">
        <v>9</v>
      </c>
      <c r="I34" s="26"/>
      <c r="J34" s="26"/>
      <c r="K34" s="25" t="s">
        <v>11</v>
      </c>
      <c r="L34" s="25" t="s">
        <v>159</v>
      </c>
    </row>
    <row r="35" spans="2:14">
      <c r="B35" s="140"/>
      <c r="C35" s="143"/>
      <c r="D35" s="142"/>
      <c r="E35" s="20"/>
      <c r="F35" s="20"/>
      <c r="G35" s="28"/>
      <c r="H35" s="27"/>
      <c r="I35" s="28"/>
      <c r="J35" s="28"/>
      <c r="K35" s="27"/>
      <c r="L35" s="27"/>
    </row>
    <row r="36" spans="2:14">
      <c r="B36" s="140">
        <v>10</v>
      </c>
      <c r="C36" s="143">
        <v>32</v>
      </c>
      <c r="D36" s="142">
        <f>VLOOKUP(C36,Pinout!$B:$D,3,FALSE)</f>
        <v>11</v>
      </c>
      <c r="E36" s="118" t="s">
        <v>143</v>
      </c>
      <c r="F36" s="21"/>
      <c r="G36" s="24"/>
      <c r="H36" s="22" t="s">
        <v>153</v>
      </c>
      <c r="I36" s="22" t="s">
        <v>152</v>
      </c>
      <c r="J36" s="24"/>
      <c r="K36" s="24"/>
      <c r="L36" s="23" t="s">
        <v>142</v>
      </c>
    </row>
    <row r="37" spans="2:14">
      <c r="B37" s="141"/>
      <c r="C37" s="144"/>
      <c r="D37" s="142"/>
      <c r="E37" s="42"/>
      <c r="F37" s="78"/>
      <c r="G37" s="28"/>
      <c r="H37" s="27"/>
      <c r="I37" s="27"/>
      <c r="J37" s="28"/>
      <c r="K37" s="28"/>
      <c r="L37" s="38"/>
    </row>
    <row r="45" spans="2:14">
      <c r="B45" s="151" t="s">
        <v>211</v>
      </c>
      <c r="C45" s="62"/>
      <c r="D45" s="62"/>
      <c r="E45" s="119"/>
      <c r="F45" s="149"/>
      <c r="G45" s="1"/>
      <c r="H45" s="1"/>
      <c r="I45" s="1"/>
      <c r="J45" s="1"/>
      <c r="K45" s="1"/>
      <c r="L45" s="1"/>
    </row>
    <row r="46" spans="2:14">
      <c r="B46" s="104" t="s">
        <v>368</v>
      </c>
      <c r="C46" s="43"/>
      <c r="D46" s="43"/>
      <c r="E46" s="44">
        <v>8</v>
      </c>
      <c r="F46" s="43">
        <v>7</v>
      </c>
      <c r="G46" s="43">
        <v>19</v>
      </c>
      <c r="H46" s="43">
        <v>4</v>
      </c>
      <c r="I46" s="43">
        <v>6</v>
      </c>
      <c r="J46" s="43">
        <v>5</v>
      </c>
      <c r="K46" s="43">
        <v>22</v>
      </c>
      <c r="L46" s="43">
        <v>23</v>
      </c>
      <c r="N46" s="44" t="s">
        <v>239</v>
      </c>
    </row>
    <row r="47" spans="2:14">
      <c r="B47" s="101"/>
      <c r="C47" s="105" t="s">
        <v>365</v>
      </c>
      <c r="D47" s="105"/>
      <c r="E47" s="103">
        <v>3</v>
      </c>
      <c r="F47" s="102">
        <v>5</v>
      </c>
      <c r="G47" s="102">
        <v>7</v>
      </c>
      <c r="H47" s="102">
        <v>13</v>
      </c>
      <c r="I47" s="102">
        <v>9</v>
      </c>
      <c r="J47" s="102">
        <v>11</v>
      </c>
      <c r="K47" s="102">
        <v>15</v>
      </c>
      <c r="L47" s="102">
        <v>17</v>
      </c>
      <c r="N47" s="44"/>
    </row>
    <row r="48" spans="2:14">
      <c r="B48" s="101"/>
      <c r="C48" s="105"/>
      <c r="D48" s="121" t="s">
        <v>367</v>
      </c>
      <c r="E48" s="122"/>
      <c r="F48" s="122">
        <v>5</v>
      </c>
      <c r="G48" s="122">
        <v>7</v>
      </c>
      <c r="H48" s="122">
        <v>2</v>
      </c>
      <c r="I48" s="122">
        <v>4</v>
      </c>
      <c r="J48" s="122">
        <v>3</v>
      </c>
      <c r="K48" s="122">
        <v>8</v>
      </c>
      <c r="L48" s="122">
        <v>9</v>
      </c>
      <c r="N48" s="120"/>
    </row>
    <row r="49" spans="2:16">
      <c r="B49" s="140">
        <v>32</v>
      </c>
      <c r="C49" s="126">
        <v>30</v>
      </c>
      <c r="D49" s="142">
        <f>VLOOKUP(C49,Pinout!$B:$D,3,FALSE)</f>
        <v>24</v>
      </c>
      <c r="E49" s="26"/>
      <c r="F49" s="41" t="s">
        <v>141</v>
      </c>
      <c r="G49" s="26"/>
      <c r="H49" s="26"/>
      <c r="I49" s="26"/>
      <c r="J49" s="26"/>
      <c r="K49" s="37" t="s">
        <v>140</v>
      </c>
      <c r="L49" s="26"/>
      <c r="N49" s="133" t="s">
        <v>194</v>
      </c>
      <c r="P49" s="71"/>
    </row>
    <row r="50" spans="2:16">
      <c r="B50" s="140"/>
      <c r="C50" s="126"/>
      <c r="D50" s="142"/>
      <c r="E50" s="28"/>
      <c r="F50" s="42"/>
      <c r="G50" s="28"/>
      <c r="H50" s="28"/>
      <c r="I50" s="28"/>
      <c r="J50" s="28"/>
      <c r="K50" s="38"/>
      <c r="L50" s="28"/>
      <c r="N50" s="133"/>
      <c r="P50" s="71"/>
    </row>
    <row r="51" spans="2:16">
      <c r="B51" s="140">
        <v>28</v>
      </c>
      <c r="C51" s="126">
        <v>26</v>
      </c>
      <c r="D51" s="142">
        <f>VLOOKUP(C51,Pinout!$B:$D,3,FALSE)</f>
        <v>20</v>
      </c>
      <c r="E51" s="24"/>
      <c r="F51" s="21"/>
      <c r="G51" s="23" t="s">
        <v>139</v>
      </c>
      <c r="H51" s="24"/>
      <c r="I51" s="24"/>
      <c r="J51" s="24"/>
      <c r="K51" s="23" t="s">
        <v>138</v>
      </c>
      <c r="L51" s="24"/>
      <c r="N51" s="132" t="s">
        <v>193</v>
      </c>
    </row>
    <row r="52" spans="2:16">
      <c r="B52" s="140"/>
      <c r="C52" s="126"/>
      <c r="D52" s="142"/>
      <c r="E52" s="24"/>
      <c r="F52" s="21"/>
      <c r="G52" s="23"/>
      <c r="H52" s="24"/>
      <c r="I52" s="24"/>
      <c r="J52" s="24"/>
      <c r="K52" s="23"/>
      <c r="L52" s="24"/>
      <c r="N52" s="132"/>
      <c r="P52" s="71"/>
    </row>
    <row r="53" spans="2:16">
      <c r="B53" s="140">
        <v>26</v>
      </c>
      <c r="C53" s="126">
        <v>22</v>
      </c>
      <c r="D53" s="142">
        <f>VLOOKUP(C53,Pinout!$B:$D,3,FALSE)</f>
        <v>18</v>
      </c>
      <c r="E53" s="25" t="s">
        <v>179</v>
      </c>
      <c r="F53" s="19" t="s">
        <v>2</v>
      </c>
      <c r="G53" s="25" t="s">
        <v>70</v>
      </c>
      <c r="H53" s="25">
        <v>1</v>
      </c>
      <c r="I53" s="25" t="s">
        <v>24</v>
      </c>
      <c r="J53" s="25" t="s">
        <v>35</v>
      </c>
      <c r="K53" s="35" t="s">
        <v>220</v>
      </c>
      <c r="L53" s="26"/>
      <c r="N53" s="130" t="s">
        <v>209</v>
      </c>
    </row>
    <row r="54" spans="2:16">
      <c r="B54" s="140"/>
      <c r="C54" s="126"/>
      <c r="D54" s="142"/>
      <c r="E54" s="27"/>
      <c r="F54" s="20" t="s">
        <v>136</v>
      </c>
      <c r="G54" s="27"/>
      <c r="H54" s="27"/>
      <c r="I54" s="27"/>
      <c r="J54" s="27"/>
      <c r="K54" s="36" t="s">
        <v>137</v>
      </c>
      <c r="L54" s="28"/>
      <c r="N54" s="131"/>
    </row>
    <row r="55" spans="2:16">
      <c r="B55" s="140">
        <v>31</v>
      </c>
      <c r="C55" s="126">
        <v>18</v>
      </c>
      <c r="D55" s="142">
        <f>VLOOKUP(C55,Pinout!$B:$D,3,FALSE)</f>
        <v>23</v>
      </c>
      <c r="E55" s="34" t="s">
        <v>232</v>
      </c>
      <c r="F55" s="29" t="s">
        <v>58</v>
      </c>
      <c r="G55" s="22" t="s">
        <v>178</v>
      </c>
      <c r="H55" s="22">
        <v>2</v>
      </c>
      <c r="I55" s="22" t="s">
        <v>25</v>
      </c>
      <c r="J55" s="22" t="s">
        <v>36</v>
      </c>
      <c r="K55" s="22" t="s">
        <v>46</v>
      </c>
      <c r="L55" s="24"/>
      <c r="N55" s="145" t="s">
        <v>330</v>
      </c>
      <c r="P55" s="71"/>
    </row>
    <row r="56" spans="2:16">
      <c r="B56" s="140"/>
      <c r="C56" s="126"/>
      <c r="D56" s="142"/>
      <c r="E56" s="34" t="s">
        <v>144</v>
      </c>
      <c r="F56" s="29"/>
      <c r="G56" s="22"/>
      <c r="H56" s="22"/>
      <c r="I56" s="22"/>
      <c r="J56" s="22"/>
      <c r="K56" s="22"/>
      <c r="L56" s="24"/>
      <c r="N56" s="146"/>
      <c r="P56" s="71"/>
    </row>
    <row r="57" spans="2:16">
      <c r="B57" s="140">
        <v>17</v>
      </c>
      <c r="C57" s="126">
        <v>14</v>
      </c>
      <c r="D57" s="142">
        <f>VLOOKUP(C57,Pinout!$B:$D,3,FALSE)</f>
        <v>15</v>
      </c>
      <c r="E57" s="25" t="s">
        <v>62</v>
      </c>
      <c r="F57" s="19" t="s">
        <v>59</v>
      </c>
      <c r="G57" s="25" t="s">
        <v>60</v>
      </c>
      <c r="H57" s="25">
        <v>3</v>
      </c>
      <c r="I57" s="25" t="s">
        <v>26</v>
      </c>
      <c r="J57" s="25" t="s">
        <v>37</v>
      </c>
      <c r="K57" s="25" t="s">
        <v>47</v>
      </c>
      <c r="L57" s="26"/>
      <c r="N57" s="137" t="s">
        <v>105</v>
      </c>
      <c r="P57" s="71"/>
    </row>
    <row r="58" spans="2:16">
      <c r="B58" s="140"/>
      <c r="C58" s="126"/>
      <c r="D58" s="142"/>
      <c r="E58" s="27"/>
      <c r="F58" s="20"/>
      <c r="G58" s="27"/>
      <c r="H58" s="27"/>
      <c r="I58" s="27"/>
      <c r="J58" s="27"/>
      <c r="K58" s="27"/>
      <c r="L58" s="28"/>
      <c r="N58" s="137"/>
    </row>
    <row r="59" spans="2:16">
      <c r="B59" s="140">
        <v>25</v>
      </c>
      <c r="C59" s="126">
        <v>10</v>
      </c>
      <c r="D59" s="142">
        <f>VLOOKUP(C59,Pinout!$B:$D,3,FALSE)</f>
        <v>17</v>
      </c>
      <c r="E59" s="22" t="s">
        <v>39</v>
      </c>
      <c r="F59" s="29">
        <v>5</v>
      </c>
      <c r="G59" s="22" t="s">
        <v>28</v>
      </c>
      <c r="H59" s="22">
        <v>4</v>
      </c>
      <c r="I59" s="22" t="s">
        <v>27</v>
      </c>
      <c r="J59" s="22" t="s">
        <v>38</v>
      </c>
      <c r="K59" s="22" t="s">
        <v>48</v>
      </c>
      <c r="L59" s="22" t="s">
        <v>49</v>
      </c>
      <c r="N59" s="136" t="s">
        <v>83</v>
      </c>
    </row>
    <row r="60" spans="2:16">
      <c r="B60" s="140"/>
      <c r="C60" s="126"/>
      <c r="D60" s="142"/>
      <c r="E60" s="22"/>
      <c r="F60" s="29"/>
      <c r="G60" s="22"/>
      <c r="H60" s="22"/>
      <c r="I60" s="22"/>
      <c r="J60" s="22"/>
      <c r="K60" s="22"/>
      <c r="L60" s="22"/>
      <c r="N60" s="136"/>
    </row>
    <row r="61" spans="2:16">
      <c r="B61" s="140">
        <v>33</v>
      </c>
      <c r="C61" s="126">
        <v>6</v>
      </c>
      <c r="D61" s="142">
        <f>VLOOKUP(C61,Pinout!$B:$D,3,FALSE)</f>
        <v>26</v>
      </c>
      <c r="E61" s="25" t="s">
        <v>61</v>
      </c>
      <c r="F61" s="19" t="s">
        <v>65</v>
      </c>
      <c r="G61" s="25" t="s">
        <v>163</v>
      </c>
      <c r="H61" s="25" t="s">
        <v>66</v>
      </c>
      <c r="I61" s="26"/>
      <c r="J61" s="124" t="s">
        <v>104</v>
      </c>
      <c r="K61" s="25" t="s">
        <v>34</v>
      </c>
      <c r="L61" s="25" t="s">
        <v>54</v>
      </c>
      <c r="N61" s="139" t="s">
        <v>84</v>
      </c>
    </row>
    <row r="62" spans="2:16">
      <c r="B62" s="140"/>
      <c r="C62" s="126"/>
      <c r="D62" s="142"/>
      <c r="E62" s="27"/>
      <c r="F62" s="20"/>
      <c r="G62" s="27"/>
      <c r="H62" s="27"/>
      <c r="I62" s="28"/>
      <c r="J62" s="125" t="s">
        <v>126</v>
      </c>
      <c r="K62" s="27"/>
      <c r="L62" s="27"/>
      <c r="N62" s="139"/>
    </row>
    <row r="63" spans="2:16">
      <c r="B63" s="140">
        <v>15</v>
      </c>
      <c r="C63" s="126">
        <v>2</v>
      </c>
      <c r="D63" s="142">
        <f>VLOOKUP(C63,Pinout!$B:$D,3,FALSE)</f>
        <v>13</v>
      </c>
      <c r="E63" s="22" t="s">
        <v>40</v>
      </c>
      <c r="F63" s="29">
        <v>6</v>
      </c>
      <c r="G63" s="33" t="s">
        <v>219</v>
      </c>
      <c r="H63" s="53">
        <v>7</v>
      </c>
      <c r="I63" s="53">
        <v>4</v>
      </c>
      <c r="J63" s="53">
        <v>1</v>
      </c>
      <c r="K63" s="53">
        <v>0</v>
      </c>
      <c r="L63" s="22" t="s">
        <v>50</v>
      </c>
      <c r="N63" s="138" t="s">
        <v>82</v>
      </c>
    </row>
    <row r="64" spans="2:16">
      <c r="B64" s="140"/>
      <c r="C64" s="126"/>
      <c r="D64" s="142"/>
      <c r="E64" s="22"/>
      <c r="F64" s="29"/>
      <c r="G64" s="33" t="s">
        <v>145</v>
      </c>
      <c r="H64" s="53" t="s">
        <v>182</v>
      </c>
      <c r="I64" s="53" t="s">
        <v>181</v>
      </c>
      <c r="J64" s="53" t="s">
        <v>183</v>
      </c>
      <c r="K64" s="53" t="s">
        <v>192</v>
      </c>
      <c r="L64" s="22"/>
      <c r="N64" s="138"/>
    </row>
    <row r="65" spans="2:14">
      <c r="B65" s="140">
        <v>9</v>
      </c>
      <c r="C65" s="126">
        <v>4</v>
      </c>
      <c r="D65" s="142">
        <f>VLOOKUP(C65,Pinout!$B:$D,3,FALSE)</f>
        <v>10</v>
      </c>
      <c r="E65" s="25" t="s">
        <v>79</v>
      </c>
      <c r="F65" s="19" t="s">
        <v>81</v>
      </c>
      <c r="G65" s="25" t="s">
        <v>207</v>
      </c>
      <c r="H65" s="54">
        <v>8</v>
      </c>
      <c r="I65" s="54">
        <v>5</v>
      </c>
      <c r="J65" s="54">
        <v>2</v>
      </c>
      <c r="K65" s="25" t="s">
        <v>80</v>
      </c>
      <c r="L65" s="26"/>
    </row>
    <row r="66" spans="2:14">
      <c r="B66" s="140"/>
      <c r="C66" s="126"/>
      <c r="D66" s="142"/>
      <c r="E66" s="27"/>
      <c r="F66" s="20" t="s">
        <v>133</v>
      </c>
      <c r="G66" s="27" t="s">
        <v>135</v>
      </c>
      <c r="H66" s="55" t="s">
        <v>176</v>
      </c>
      <c r="I66" s="55" t="s">
        <v>175</v>
      </c>
      <c r="J66" s="55" t="s">
        <v>177</v>
      </c>
      <c r="K66" s="27" t="s">
        <v>134</v>
      </c>
      <c r="L66" s="28"/>
      <c r="N66" s="71" t="s">
        <v>375</v>
      </c>
    </row>
    <row r="67" spans="2:14">
      <c r="B67" s="140">
        <v>16</v>
      </c>
      <c r="C67" s="126">
        <v>8</v>
      </c>
      <c r="D67" s="142">
        <f>VLOOKUP(C67,Pinout!$B:$D,3,FALSE)</f>
        <v>14</v>
      </c>
      <c r="E67" s="24"/>
      <c r="F67" s="29" t="s">
        <v>64</v>
      </c>
      <c r="G67" s="22" t="s">
        <v>63</v>
      </c>
      <c r="H67" s="53">
        <v>9</v>
      </c>
      <c r="I67" s="53">
        <v>6</v>
      </c>
      <c r="J67" s="53">
        <v>3</v>
      </c>
      <c r="K67" s="53" t="s">
        <v>52</v>
      </c>
      <c r="L67" s="24"/>
      <c r="N67" s="71" t="s">
        <v>369</v>
      </c>
    </row>
    <row r="68" spans="2:14">
      <c r="B68" s="140"/>
      <c r="C68" s="126"/>
      <c r="D68" s="142"/>
      <c r="E68" s="28"/>
      <c r="F68" s="20"/>
      <c r="G68" s="27"/>
      <c r="H68" s="55" t="s">
        <v>172</v>
      </c>
      <c r="I68" s="55" t="s">
        <v>171</v>
      </c>
      <c r="J68" s="55" t="s">
        <v>174</v>
      </c>
      <c r="K68" s="55" t="s">
        <v>173</v>
      </c>
      <c r="L68" s="28"/>
      <c r="N68" s="71" t="s">
        <v>370</v>
      </c>
    </row>
    <row r="69" spans="2:14">
      <c r="B69" s="140">
        <v>27</v>
      </c>
      <c r="C69" s="126">
        <v>12</v>
      </c>
      <c r="D69" s="142">
        <f>VLOOKUP(C69,Pinout!$B:$D,3,FALSE)</f>
        <v>19</v>
      </c>
      <c r="E69" s="33" t="s">
        <v>214</v>
      </c>
      <c r="F69" s="32" t="s">
        <v>218</v>
      </c>
      <c r="G69" s="33" t="s">
        <v>215</v>
      </c>
      <c r="H69" s="53" t="s">
        <v>167</v>
      </c>
      <c r="I69" s="53" t="s">
        <v>165</v>
      </c>
      <c r="J69" s="53" t="s">
        <v>22</v>
      </c>
      <c r="K69" s="34" t="s">
        <v>234</v>
      </c>
      <c r="L69" s="53" t="s">
        <v>169</v>
      </c>
      <c r="N69" s="71" t="s">
        <v>373</v>
      </c>
    </row>
    <row r="70" spans="2:14">
      <c r="B70" s="140"/>
      <c r="C70" s="126"/>
      <c r="D70" s="142"/>
      <c r="E70" s="33" t="s">
        <v>131</v>
      </c>
      <c r="F70" s="32" t="s">
        <v>128</v>
      </c>
      <c r="G70" s="33" t="s">
        <v>130</v>
      </c>
      <c r="H70" s="55" t="s">
        <v>166</v>
      </c>
      <c r="I70" s="55" t="s">
        <v>164</v>
      </c>
      <c r="J70" s="53" t="s">
        <v>170</v>
      </c>
      <c r="K70" s="52" t="s">
        <v>126</v>
      </c>
      <c r="L70" s="55" t="s">
        <v>168</v>
      </c>
      <c r="N70" s="71" t="s">
        <v>374</v>
      </c>
    </row>
    <row r="71" spans="2:14">
      <c r="B71" s="140">
        <v>29</v>
      </c>
      <c r="C71" s="126">
        <v>16</v>
      </c>
      <c r="D71" s="142">
        <f>VLOOKUP(C71,Pinout!$B:$D,3,FALSE)</f>
        <v>21</v>
      </c>
      <c r="E71" s="134" t="s">
        <v>156</v>
      </c>
      <c r="F71" s="19" t="s">
        <v>158</v>
      </c>
      <c r="G71" s="30" t="s">
        <v>155</v>
      </c>
      <c r="H71" s="25" t="s">
        <v>18</v>
      </c>
      <c r="I71" s="30" t="s">
        <v>154</v>
      </c>
      <c r="J71" s="30" t="s">
        <v>20</v>
      </c>
      <c r="K71" s="26"/>
      <c r="L71" s="25" t="s">
        <v>161</v>
      </c>
      <c r="N71" s="71" t="s">
        <v>372</v>
      </c>
    </row>
    <row r="72" spans="2:14">
      <c r="B72" s="140"/>
      <c r="C72" s="126"/>
      <c r="D72" s="142"/>
      <c r="E72" s="135"/>
      <c r="F72" s="20"/>
      <c r="G72" s="31"/>
      <c r="H72" s="27"/>
      <c r="I72" s="31"/>
      <c r="J72" s="31"/>
      <c r="K72" s="28"/>
      <c r="L72" s="27"/>
      <c r="N72" s="71" t="s">
        <v>371</v>
      </c>
    </row>
    <row r="73" spans="2:14">
      <c r="B73" s="140">
        <v>24</v>
      </c>
      <c r="C73" s="126">
        <v>20</v>
      </c>
      <c r="D73" s="142">
        <f>VLOOKUP(C73,Pinout!$B:$D,3,FALSE)</f>
        <v>16</v>
      </c>
      <c r="E73" s="24"/>
      <c r="F73" s="29" t="s">
        <v>157</v>
      </c>
      <c r="G73" s="24"/>
      <c r="H73" s="22" t="s">
        <v>14</v>
      </c>
      <c r="I73" s="24"/>
      <c r="J73" s="24"/>
      <c r="K73" s="24"/>
      <c r="L73" s="22" t="s">
        <v>160</v>
      </c>
    </row>
    <row r="74" spans="2:14">
      <c r="B74" s="140"/>
      <c r="C74" s="126"/>
      <c r="D74" s="142"/>
      <c r="E74" s="24"/>
      <c r="F74" s="29"/>
      <c r="G74" s="24"/>
      <c r="H74" s="22"/>
      <c r="I74" s="24"/>
      <c r="J74" s="24"/>
      <c r="K74" s="24"/>
      <c r="L74" s="22"/>
    </row>
    <row r="75" spans="2:14">
      <c r="B75" s="140">
        <v>14</v>
      </c>
      <c r="C75" s="126">
        <v>24</v>
      </c>
      <c r="D75" s="142">
        <f>VLOOKUP(C75,Pinout!$B:$D,3,FALSE)</f>
        <v>12</v>
      </c>
      <c r="E75" s="26"/>
      <c r="F75" s="19" t="s">
        <v>146</v>
      </c>
      <c r="G75" s="26"/>
      <c r="H75" s="25" t="s">
        <v>147</v>
      </c>
      <c r="I75" s="37" t="s">
        <v>124</v>
      </c>
      <c r="J75" s="25" t="s">
        <v>55</v>
      </c>
      <c r="K75" s="30" t="s">
        <v>149</v>
      </c>
      <c r="L75" s="30" t="s">
        <v>148</v>
      </c>
    </row>
    <row r="76" spans="2:14">
      <c r="B76" s="141"/>
      <c r="C76" s="127"/>
      <c r="D76" s="142"/>
      <c r="E76" s="28"/>
      <c r="F76" s="20"/>
      <c r="G76" s="28"/>
      <c r="H76" s="27"/>
      <c r="I76" s="38"/>
      <c r="J76" s="27"/>
      <c r="K76" s="31" t="s">
        <v>151</v>
      </c>
      <c r="L76" s="31" t="s">
        <v>150</v>
      </c>
    </row>
    <row r="77" spans="2:14">
      <c r="B77" s="140">
        <v>30</v>
      </c>
      <c r="C77" s="126">
        <v>28</v>
      </c>
      <c r="D77" s="142">
        <f>VLOOKUP(C77,Pinout!$B:$D,3,FALSE)</f>
        <v>22</v>
      </c>
      <c r="E77" s="25" t="s">
        <v>162</v>
      </c>
      <c r="F77" s="19" t="s">
        <v>8</v>
      </c>
      <c r="G77" s="26"/>
      <c r="H77" s="25" t="s">
        <v>9</v>
      </c>
      <c r="I77" s="26"/>
      <c r="J77" s="26"/>
      <c r="K77" s="25" t="s">
        <v>11</v>
      </c>
      <c r="L77" s="25" t="s">
        <v>159</v>
      </c>
    </row>
    <row r="78" spans="2:14">
      <c r="B78" s="140"/>
      <c r="C78" s="126"/>
      <c r="D78" s="142"/>
      <c r="E78" s="27"/>
      <c r="F78" s="20"/>
      <c r="G78" s="28"/>
      <c r="H78" s="27"/>
      <c r="I78" s="28"/>
      <c r="J78" s="28"/>
      <c r="K78" s="27"/>
      <c r="L78" s="27"/>
    </row>
    <row r="79" spans="2:14">
      <c r="B79" s="140">
        <v>10</v>
      </c>
      <c r="C79" s="126">
        <v>32</v>
      </c>
      <c r="D79" s="142">
        <f>VLOOKUP(C79,Pinout!$B:$D,3,FALSE)</f>
        <v>11</v>
      </c>
      <c r="E79" s="37" t="s">
        <v>143</v>
      </c>
      <c r="F79" s="75"/>
      <c r="G79" s="26"/>
      <c r="H79" s="25" t="s">
        <v>153</v>
      </c>
      <c r="I79" s="25" t="s">
        <v>152</v>
      </c>
      <c r="J79" s="26"/>
      <c r="K79" s="26"/>
      <c r="L79" s="37" t="s">
        <v>142</v>
      </c>
    </row>
    <row r="80" spans="2:14">
      <c r="B80" s="140"/>
      <c r="C80" s="126"/>
      <c r="D80" s="142"/>
      <c r="E80" s="38"/>
      <c r="F80" s="78"/>
      <c r="G80" s="28"/>
      <c r="H80" s="27"/>
      <c r="I80" s="27"/>
      <c r="J80" s="28"/>
      <c r="K80" s="28"/>
      <c r="L80" s="38"/>
    </row>
    <row r="88" spans="2:14">
      <c r="B88" s="150" t="s">
        <v>213</v>
      </c>
      <c r="C88" s="62"/>
      <c r="D88" s="62"/>
      <c r="E88" s="119"/>
      <c r="F88" s="149"/>
      <c r="G88" s="1"/>
      <c r="H88" s="1"/>
      <c r="I88" s="1"/>
      <c r="J88" s="1"/>
      <c r="K88" s="1"/>
      <c r="L88" s="1"/>
    </row>
    <row r="89" spans="2:14">
      <c r="B89" s="104" t="s">
        <v>331</v>
      </c>
      <c r="C89" s="45"/>
      <c r="D89" s="45"/>
      <c r="E89" s="45">
        <v>8</v>
      </c>
      <c r="F89" s="45">
        <v>7</v>
      </c>
      <c r="G89" s="45">
        <v>19</v>
      </c>
      <c r="H89" s="45">
        <v>4</v>
      </c>
      <c r="I89" s="45">
        <v>6</v>
      </c>
      <c r="J89" s="45">
        <v>5</v>
      </c>
      <c r="K89" s="45">
        <v>22</v>
      </c>
      <c r="L89" s="45">
        <v>23</v>
      </c>
      <c r="N89" s="44" t="s">
        <v>239</v>
      </c>
    </row>
    <row r="90" spans="2:14">
      <c r="B90" s="106"/>
      <c r="C90" s="105" t="s">
        <v>332</v>
      </c>
      <c r="D90" s="105"/>
      <c r="E90" s="103">
        <v>3</v>
      </c>
      <c r="F90" s="102">
        <v>5</v>
      </c>
      <c r="G90" s="102">
        <v>7</v>
      </c>
      <c r="H90" s="102">
        <v>13</v>
      </c>
      <c r="I90" s="102">
        <v>9</v>
      </c>
      <c r="J90" s="102">
        <v>11</v>
      </c>
      <c r="K90" s="102">
        <v>15</v>
      </c>
      <c r="L90" s="102">
        <v>17</v>
      </c>
      <c r="N90" s="44"/>
    </row>
    <row r="91" spans="2:14">
      <c r="B91" s="106"/>
      <c r="C91" s="105"/>
      <c r="D91" s="121" t="s">
        <v>367</v>
      </c>
      <c r="E91" s="122"/>
      <c r="F91" s="122">
        <v>5</v>
      </c>
      <c r="G91" s="122">
        <v>7</v>
      </c>
      <c r="H91" s="122">
        <v>2</v>
      </c>
      <c r="I91" s="122">
        <v>4</v>
      </c>
      <c r="J91" s="122">
        <v>3</v>
      </c>
      <c r="K91" s="122">
        <v>8</v>
      </c>
      <c r="L91" s="122">
        <v>9</v>
      </c>
      <c r="N91" s="44"/>
    </row>
    <row r="92" spans="2:14">
      <c r="B92" s="140">
        <v>32</v>
      </c>
      <c r="C92" s="126">
        <v>30</v>
      </c>
      <c r="D92" s="142">
        <f>VLOOKUP(C92,Pinout!$B:$D,3,FALSE)</f>
        <v>24</v>
      </c>
      <c r="E92" s="24"/>
      <c r="F92" s="51"/>
      <c r="G92" s="50"/>
      <c r="H92" s="50"/>
      <c r="I92" s="50"/>
      <c r="J92" s="50"/>
      <c r="K92" s="51"/>
      <c r="L92" s="50"/>
      <c r="N92" s="133" t="s">
        <v>194</v>
      </c>
    </row>
    <row r="93" spans="2:14">
      <c r="B93" s="140"/>
      <c r="C93" s="126"/>
      <c r="D93" s="142"/>
      <c r="E93" s="24"/>
      <c r="F93" s="51"/>
      <c r="G93" s="50"/>
      <c r="H93" s="50"/>
      <c r="I93" s="50"/>
      <c r="J93" s="50"/>
      <c r="K93" s="51"/>
      <c r="L93" s="50"/>
      <c r="N93" s="133"/>
    </row>
    <row r="94" spans="2:14">
      <c r="B94" s="140">
        <v>28</v>
      </c>
      <c r="C94" s="126">
        <v>26</v>
      </c>
      <c r="D94" s="142">
        <f>VLOOKUP(C94,Pinout!$B:$D,3,FALSE)</f>
        <v>20</v>
      </c>
      <c r="E94" s="26"/>
      <c r="F94" s="47"/>
      <c r="G94" s="46"/>
      <c r="H94" s="47"/>
      <c r="I94" s="47"/>
      <c r="J94" s="47"/>
      <c r="K94" s="46"/>
      <c r="L94" s="47"/>
      <c r="N94" s="132" t="s">
        <v>193</v>
      </c>
    </row>
    <row r="95" spans="2:14">
      <c r="B95" s="140"/>
      <c r="C95" s="126"/>
      <c r="D95" s="142"/>
      <c r="E95" s="28"/>
      <c r="F95" s="49"/>
      <c r="G95" s="48"/>
      <c r="H95" s="49"/>
      <c r="I95" s="49"/>
      <c r="J95" s="49"/>
      <c r="K95" s="48"/>
      <c r="L95" s="49"/>
      <c r="N95" s="132"/>
    </row>
    <row r="96" spans="2:14">
      <c r="B96" s="140">
        <v>26</v>
      </c>
      <c r="C96" s="126">
        <v>22</v>
      </c>
      <c r="D96" s="142">
        <f>VLOOKUP(C96,Pinout!$B:$D,3,FALSE)</f>
        <v>18</v>
      </c>
      <c r="E96" s="50"/>
      <c r="F96" s="50"/>
      <c r="G96" s="50"/>
      <c r="H96" s="50"/>
      <c r="I96" s="50"/>
      <c r="J96" s="50"/>
      <c r="K96" s="50"/>
      <c r="L96" s="50"/>
      <c r="N96" s="130" t="s">
        <v>209</v>
      </c>
    </row>
    <row r="97" spans="2:14">
      <c r="B97" s="140"/>
      <c r="C97" s="126"/>
      <c r="D97" s="142"/>
      <c r="E97" s="50"/>
      <c r="F97" s="50"/>
      <c r="G97" s="50"/>
      <c r="H97" s="50"/>
      <c r="I97" s="50"/>
      <c r="J97" s="50"/>
      <c r="K97" s="50"/>
      <c r="L97" s="50"/>
      <c r="N97" s="131"/>
    </row>
    <row r="98" spans="2:14">
      <c r="B98" s="140">
        <v>31</v>
      </c>
      <c r="C98" s="126">
        <v>18</v>
      </c>
      <c r="D98" s="142">
        <f>VLOOKUP(C98,Pinout!$B:$D,3,FALSE)</f>
        <v>23</v>
      </c>
      <c r="E98" s="47"/>
      <c r="F98" s="25" t="s">
        <v>58</v>
      </c>
      <c r="G98" s="47"/>
      <c r="H98" s="47"/>
      <c r="I98" s="47"/>
      <c r="J98" s="47"/>
      <c r="K98" s="47"/>
      <c r="L98" s="47"/>
      <c r="N98" s="145" t="s">
        <v>330</v>
      </c>
    </row>
    <row r="99" spans="2:14">
      <c r="B99" s="140"/>
      <c r="C99" s="126"/>
      <c r="D99" s="142"/>
      <c r="E99" s="49"/>
      <c r="F99" s="27"/>
      <c r="G99" s="49"/>
      <c r="H99" s="49"/>
      <c r="I99" s="49"/>
      <c r="J99" s="49"/>
      <c r="K99" s="49"/>
      <c r="L99" s="49"/>
      <c r="N99" s="146"/>
    </row>
    <row r="100" spans="2:14">
      <c r="B100" s="140">
        <v>17</v>
      </c>
      <c r="C100" s="126">
        <v>14</v>
      </c>
      <c r="D100" s="142">
        <f>VLOOKUP(C100,Pinout!$B:$D,3,FALSE)</f>
        <v>15</v>
      </c>
      <c r="E100" s="57" t="s">
        <v>203</v>
      </c>
      <c r="F100" s="56" t="s">
        <v>195</v>
      </c>
      <c r="G100" s="56" t="s">
        <v>202</v>
      </c>
      <c r="H100" s="50"/>
      <c r="I100" s="50"/>
      <c r="J100" s="50"/>
      <c r="K100" s="50"/>
      <c r="L100" s="50"/>
      <c r="N100" s="137" t="s">
        <v>105</v>
      </c>
    </row>
    <row r="101" spans="2:14">
      <c r="B101" s="140"/>
      <c r="C101" s="126"/>
      <c r="D101" s="142"/>
      <c r="E101" s="57"/>
      <c r="F101" s="60" t="s">
        <v>197</v>
      </c>
      <c r="G101" s="56"/>
      <c r="H101" s="50"/>
      <c r="I101" s="50"/>
      <c r="J101" s="50"/>
      <c r="K101" s="50"/>
      <c r="L101" s="50"/>
      <c r="N101" s="137"/>
    </row>
    <row r="102" spans="2:14">
      <c r="B102" s="140">
        <v>25</v>
      </c>
      <c r="C102" s="126">
        <v>10</v>
      </c>
      <c r="D102" s="142">
        <f>VLOOKUP(C102,Pinout!$B:$D,3,FALSE)</f>
        <v>17</v>
      </c>
      <c r="E102" s="47"/>
      <c r="F102" s="47"/>
      <c r="G102" s="47"/>
      <c r="H102" s="47"/>
      <c r="I102" s="47"/>
      <c r="J102" s="47"/>
      <c r="K102" s="47"/>
      <c r="L102" s="47"/>
      <c r="N102" s="136" t="s">
        <v>83</v>
      </c>
    </row>
    <row r="103" spans="2:14">
      <c r="B103" s="140"/>
      <c r="C103" s="126"/>
      <c r="D103" s="142"/>
      <c r="E103" s="49"/>
      <c r="F103" s="49"/>
      <c r="G103" s="49"/>
      <c r="H103" s="49"/>
      <c r="I103" s="49"/>
      <c r="J103" s="49"/>
      <c r="K103" s="49"/>
      <c r="L103" s="49"/>
      <c r="N103" s="136"/>
    </row>
    <row r="104" spans="2:14">
      <c r="B104" s="140">
        <v>33</v>
      </c>
      <c r="C104" s="126">
        <v>6</v>
      </c>
      <c r="D104" s="142">
        <f>VLOOKUP(C104,Pinout!$B:$D,3,FALSE)</f>
        <v>26</v>
      </c>
      <c r="E104" s="56" t="s">
        <v>204</v>
      </c>
      <c r="F104" s="56" t="s">
        <v>206</v>
      </c>
      <c r="G104" s="50"/>
      <c r="H104" s="22" t="s">
        <v>66</v>
      </c>
      <c r="I104" s="50"/>
      <c r="J104" s="154"/>
      <c r="K104" s="50"/>
      <c r="L104" s="56" t="s">
        <v>205</v>
      </c>
      <c r="N104" s="139" t="s">
        <v>84</v>
      </c>
    </row>
    <row r="105" spans="2:14">
      <c r="B105" s="140"/>
      <c r="C105" s="126"/>
      <c r="D105" s="142"/>
      <c r="E105" s="56"/>
      <c r="F105" s="56" t="s">
        <v>190</v>
      </c>
      <c r="G105" s="50"/>
      <c r="H105" s="22"/>
      <c r="I105" s="50"/>
      <c r="J105" s="154"/>
      <c r="K105" s="50"/>
      <c r="L105" s="56"/>
      <c r="N105" s="139"/>
    </row>
    <row r="106" spans="2:14">
      <c r="B106" s="140">
        <v>15</v>
      </c>
      <c r="C106" s="126">
        <v>2</v>
      </c>
      <c r="D106" s="142">
        <f>VLOOKUP(C106,Pinout!$B:$D,3,FALSE)</f>
        <v>13</v>
      </c>
      <c r="E106" s="47"/>
      <c r="F106" s="47"/>
      <c r="G106" s="47"/>
      <c r="H106" s="54">
        <v>7</v>
      </c>
      <c r="I106" s="54">
        <v>4</v>
      </c>
      <c r="J106" s="54">
        <v>1</v>
      </c>
      <c r="K106" s="54">
        <v>0</v>
      </c>
      <c r="L106" s="47"/>
      <c r="N106" s="138" t="s">
        <v>82</v>
      </c>
    </row>
    <row r="107" spans="2:14">
      <c r="B107" s="140"/>
      <c r="C107" s="126"/>
      <c r="D107" s="142"/>
      <c r="E107" s="49"/>
      <c r="F107" s="49"/>
      <c r="G107" s="49"/>
      <c r="H107" s="55" t="s">
        <v>182</v>
      </c>
      <c r="I107" s="55" t="s">
        <v>181</v>
      </c>
      <c r="J107" s="55" t="s">
        <v>183</v>
      </c>
      <c r="K107" s="55" t="s">
        <v>192</v>
      </c>
      <c r="L107" s="49"/>
      <c r="N107" s="138"/>
    </row>
    <row r="108" spans="2:14">
      <c r="B108" s="140">
        <v>9</v>
      </c>
      <c r="C108" s="126">
        <v>4</v>
      </c>
      <c r="D108" s="142">
        <f>VLOOKUP(C108,Pinout!$B:$D,3,FALSE)</f>
        <v>10</v>
      </c>
      <c r="E108" s="25" t="s">
        <v>79</v>
      </c>
      <c r="F108" s="47"/>
      <c r="G108" s="47"/>
      <c r="H108" s="53">
        <v>8</v>
      </c>
      <c r="I108" s="53">
        <v>5</v>
      </c>
      <c r="J108" s="53">
        <v>2</v>
      </c>
      <c r="K108" s="50"/>
      <c r="L108" s="47"/>
    </row>
    <row r="109" spans="2:14">
      <c r="B109" s="140"/>
      <c r="C109" s="126"/>
      <c r="D109" s="142"/>
      <c r="E109" s="27"/>
      <c r="F109" s="49"/>
      <c r="G109" s="49"/>
      <c r="H109" s="55" t="s">
        <v>176</v>
      </c>
      <c r="I109" s="55" t="s">
        <v>175</v>
      </c>
      <c r="J109" s="55" t="s">
        <v>177</v>
      </c>
      <c r="K109" s="49"/>
      <c r="L109" s="49"/>
      <c r="N109" s="71" t="s">
        <v>375</v>
      </c>
    </row>
    <row r="110" spans="2:14">
      <c r="B110" s="140">
        <v>16</v>
      </c>
      <c r="C110" s="126">
        <v>8</v>
      </c>
      <c r="D110" s="142">
        <f>VLOOKUP(C110,Pinout!$B:$D,3,FALSE)</f>
        <v>14</v>
      </c>
      <c r="E110" s="24"/>
      <c r="F110" s="56" t="s">
        <v>64</v>
      </c>
      <c r="G110" s="56" t="s">
        <v>189</v>
      </c>
      <c r="H110" s="53">
        <v>9</v>
      </c>
      <c r="I110" s="53">
        <v>6</v>
      </c>
      <c r="J110" s="54">
        <v>3</v>
      </c>
      <c r="K110" s="53" t="s">
        <v>52</v>
      </c>
      <c r="L110" s="50"/>
      <c r="N110" s="71" t="s">
        <v>369</v>
      </c>
    </row>
    <row r="111" spans="2:14">
      <c r="B111" s="140"/>
      <c r="C111" s="126"/>
      <c r="D111" s="142"/>
      <c r="E111" s="24"/>
      <c r="F111" s="56" t="s">
        <v>198</v>
      </c>
      <c r="G111" s="60" t="s">
        <v>196</v>
      </c>
      <c r="H111" s="55" t="s">
        <v>172</v>
      </c>
      <c r="I111" s="55" t="s">
        <v>171</v>
      </c>
      <c r="J111" s="55" t="s">
        <v>174</v>
      </c>
      <c r="K111" s="55" t="s">
        <v>173</v>
      </c>
      <c r="L111" s="50"/>
      <c r="N111" s="71" t="s">
        <v>370</v>
      </c>
    </row>
    <row r="112" spans="2:14">
      <c r="B112" s="140">
        <v>27</v>
      </c>
      <c r="C112" s="126">
        <v>12</v>
      </c>
      <c r="D112" s="142">
        <f>VLOOKUP(C112,Pinout!$B:$D,3,FALSE)</f>
        <v>19</v>
      </c>
      <c r="E112" s="47"/>
      <c r="F112" s="47"/>
      <c r="G112" s="47"/>
      <c r="H112" s="54" t="s">
        <v>167</v>
      </c>
      <c r="I112" s="54" t="s">
        <v>165</v>
      </c>
      <c r="J112" s="54" t="s">
        <v>22</v>
      </c>
      <c r="K112" s="47"/>
      <c r="L112" s="54" t="s">
        <v>169</v>
      </c>
      <c r="N112" s="71" t="s">
        <v>373</v>
      </c>
    </row>
    <row r="113" spans="2:14">
      <c r="B113" s="140"/>
      <c r="C113" s="126"/>
      <c r="D113" s="142"/>
      <c r="E113" s="49"/>
      <c r="F113" s="49"/>
      <c r="G113" s="49"/>
      <c r="H113" s="55" t="s">
        <v>166</v>
      </c>
      <c r="I113" s="55" t="s">
        <v>164</v>
      </c>
      <c r="J113" s="55" t="s">
        <v>170</v>
      </c>
      <c r="K113" s="49"/>
      <c r="L113" s="55" t="s">
        <v>168</v>
      </c>
      <c r="N113" s="71" t="s">
        <v>374</v>
      </c>
    </row>
    <row r="114" spans="2:14">
      <c r="B114" s="140">
        <v>29</v>
      </c>
      <c r="C114" s="126">
        <v>16</v>
      </c>
      <c r="D114" s="142">
        <f>VLOOKUP(C114,Pinout!$B:$D,3,FALSE)</f>
        <v>21</v>
      </c>
      <c r="E114" s="152" t="s">
        <v>156</v>
      </c>
      <c r="F114" s="29" t="s">
        <v>158</v>
      </c>
      <c r="G114" s="50"/>
      <c r="H114" s="22" t="s">
        <v>18</v>
      </c>
      <c r="I114" s="50"/>
      <c r="J114" s="50"/>
      <c r="K114" s="24"/>
      <c r="L114" s="109" t="s">
        <v>184</v>
      </c>
      <c r="N114" s="71" t="s">
        <v>372</v>
      </c>
    </row>
    <row r="115" spans="2:14">
      <c r="B115" s="140"/>
      <c r="C115" s="126"/>
      <c r="D115" s="142"/>
      <c r="E115" s="135"/>
      <c r="F115" s="20"/>
      <c r="G115" s="50"/>
      <c r="H115" s="22"/>
      <c r="I115" s="50"/>
      <c r="J115" s="50"/>
      <c r="K115" s="24"/>
      <c r="L115" s="110" t="s">
        <v>257</v>
      </c>
      <c r="N115" s="71" t="s">
        <v>371</v>
      </c>
    </row>
    <row r="116" spans="2:14">
      <c r="B116" s="140">
        <v>24</v>
      </c>
      <c r="C116" s="126">
        <v>20</v>
      </c>
      <c r="D116" s="142">
        <f>VLOOKUP(C116,Pinout!$B:$D,3,FALSE)</f>
        <v>16</v>
      </c>
      <c r="E116" s="26"/>
      <c r="F116" s="25" t="s">
        <v>157</v>
      </c>
      <c r="G116" s="47"/>
      <c r="H116" s="58" t="s">
        <v>188</v>
      </c>
      <c r="I116" s="26"/>
      <c r="J116" s="47"/>
      <c r="K116" s="26"/>
      <c r="L116" s="111" t="s">
        <v>185</v>
      </c>
    </row>
    <row r="117" spans="2:14">
      <c r="B117" s="140"/>
      <c r="C117" s="126"/>
      <c r="D117" s="142"/>
      <c r="E117" s="28"/>
      <c r="F117" s="29"/>
      <c r="G117" s="49"/>
      <c r="H117" s="59"/>
      <c r="I117" s="28"/>
      <c r="J117" s="49"/>
      <c r="K117" s="28"/>
      <c r="L117" s="112" t="s">
        <v>256</v>
      </c>
    </row>
    <row r="118" spans="2:14">
      <c r="B118" s="140">
        <v>14</v>
      </c>
      <c r="C118" s="126">
        <v>24</v>
      </c>
      <c r="D118" s="142">
        <f>VLOOKUP(C118,Pinout!$B:$D,3,FALSE)</f>
        <v>12</v>
      </c>
      <c r="E118" s="24"/>
      <c r="F118" s="56" t="s">
        <v>191</v>
      </c>
      <c r="G118" s="24"/>
      <c r="H118" s="50"/>
      <c r="I118" s="51"/>
      <c r="J118" s="50"/>
      <c r="K118" s="111" t="s">
        <v>113</v>
      </c>
      <c r="L118" s="111" t="s">
        <v>112</v>
      </c>
      <c r="N118" s="71"/>
    </row>
    <row r="119" spans="2:14">
      <c r="B119" s="141"/>
      <c r="C119" s="127"/>
      <c r="D119" s="142"/>
      <c r="E119" s="28"/>
      <c r="F119" s="59"/>
      <c r="G119" s="28"/>
      <c r="H119" s="49"/>
      <c r="I119" s="48"/>
      <c r="J119" s="49"/>
      <c r="K119" s="113" t="s">
        <v>302</v>
      </c>
      <c r="L119" s="113" t="s">
        <v>303</v>
      </c>
      <c r="N119" s="71"/>
    </row>
    <row r="120" spans="2:14">
      <c r="B120" s="140">
        <v>30</v>
      </c>
      <c r="C120" s="126">
        <v>28</v>
      </c>
      <c r="D120" s="142">
        <f>VLOOKUP(C120,Pinout!$B:$D,3,FALSE)</f>
        <v>22</v>
      </c>
      <c r="E120" s="109" t="s">
        <v>187</v>
      </c>
      <c r="F120" s="56" t="s">
        <v>199</v>
      </c>
      <c r="G120" s="24"/>
      <c r="H120" s="56" t="s">
        <v>199</v>
      </c>
      <c r="I120" s="24"/>
      <c r="J120" s="24"/>
      <c r="K120" s="22" t="s">
        <v>11</v>
      </c>
      <c r="L120" s="109" t="s">
        <v>186</v>
      </c>
      <c r="N120" s="71"/>
    </row>
    <row r="121" spans="2:14">
      <c r="B121" s="140"/>
      <c r="C121" s="126"/>
      <c r="D121" s="142"/>
      <c r="E121" s="110" t="s">
        <v>291</v>
      </c>
      <c r="F121" s="56" t="s">
        <v>200</v>
      </c>
      <c r="G121" s="24"/>
      <c r="H121" s="56" t="s">
        <v>201</v>
      </c>
      <c r="I121" s="24"/>
      <c r="J121" s="24"/>
      <c r="K121" s="22"/>
      <c r="L121" s="110" t="s">
        <v>255</v>
      </c>
      <c r="N121" s="71"/>
    </row>
    <row r="122" spans="2:14">
      <c r="B122" s="140">
        <v>10</v>
      </c>
      <c r="C122" s="126">
        <v>32</v>
      </c>
      <c r="D122" s="142">
        <f>VLOOKUP(C122,Pinout!$B:$D,3,FALSE)</f>
        <v>11</v>
      </c>
      <c r="E122" s="46"/>
      <c r="F122" s="26"/>
      <c r="G122" s="47"/>
      <c r="H122" s="58" t="s">
        <v>366</v>
      </c>
      <c r="I122" s="58" t="s">
        <v>125</v>
      </c>
      <c r="J122" s="47"/>
      <c r="K122" s="47"/>
      <c r="L122" s="46"/>
      <c r="N122" s="71"/>
    </row>
    <row r="123" spans="2:14">
      <c r="B123" s="140"/>
      <c r="C123" s="126"/>
      <c r="D123" s="142"/>
      <c r="E123" s="48"/>
      <c r="F123" s="28"/>
      <c r="G123" s="49"/>
      <c r="H123" s="59"/>
      <c r="I123" s="59"/>
      <c r="J123" s="49"/>
      <c r="K123" s="49"/>
      <c r="L123" s="48"/>
    </row>
    <row r="159" spans="2:12">
      <c r="B159" s="61"/>
      <c r="C159" s="61"/>
      <c r="D159" s="61"/>
      <c r="E159" s="61" t="s">
        <v>228</v>
      </c>
      <c r="F159" s="62" t="s">
        <v>210</v>
      </c>
      <c r="G159" s="68" t="s">
        <v>226</v>
      </c>
      <c r="H159" s="68" t="s">
        <v>230</v>
      </c>
      <c r="I159" s="68" t="s">
        <v>222</v>
      </c>
      <c r="J159" s="68" t="s">
        <v>223</v>
      </c>
      <c r="K159" s="68" t="s">
        <v>221</v>
      </c>
      <c r="L159" s="68" t="s">
        <v>231</v>
      </c>
    </row>
    <row r="161" spans="2:14">
      <c r="E161" s="108" t="s">
        <v>335</v>
      </c>
      <c r="F161" s="66" t="s">
        <v>144</v>
      </c>
      <c r="G161" s="75" t="s">
        <v>225</v>
      </c>
      <c r="H161" s="73" t="s">
        <v>225</v>
      </c>
      <c r="I161" s="72" t="s">
        <v>104</v>
      </c>
      <c r="J161" s="73" t="s">
        <v>224</v>
      </c>
      <c r="K161" s="73" t="s">
        <v>1</v>
      </c>
      <c r="L161" s="73"/>
      <c r="N161" s="145" t="s">
        <v>330</v>
      </c>
    </row>
    <row r="162" spans="2:14">
      <c r="E162" s="107" t="s">
        <v>336</v>
      </c>
      <c r="F162" s="81" t="s">
        <v>312</v>
      </c>
      <c r="G162" s="21"/>
      <c r="H162" s="69"/>
      <c r="I162" s="74"/>
      <c r="J162" s="69"/>
      <c r="K162" s="69"/>
      <c r="L162" s="69"/>
      <c r="N162" s="146"/>
    </row>
    <row r="163" spans="2:14">
      <c r="E163" s="108" t="s">
        <v>337</v>
      </c>
      <c r="F163" s="124" t="s">
        <v>126</v>
      </c>
      <c r="G163" s="75"/>
      <c r="H163" s="73"/>
      <c r="I163" s="72" t="s">
        <v>104</v>
      </c>
      <c r="J163" s="73"/>
      <c r="K163" s="73"/>
      <c r="L163" s="73"/>
      <c r="N163" s="130" t="s">
        <v>209</v>
      </c>
    </row>
    <row r="164" spans="2:14">
      <c r="E164" s="107" t="s">
        <v>338</v>
      </c>
      <c r="F164" s="153" t="s">
        <v>313</v>
      </c>
      <c r="G164" s="78"/>
      <c r="H164" s="77"/>
      <c r="I164" s="76"/>
      <c r="J164" s="77"/>
      <c r="K164" s="77"/>
      <c r="L164" s="77"/>
      <c r="N164" s="131"/>
    </row>
    <row r="165" spans="2:14">
      <c r="E165" s="108" t="s">
        <v>333</v>
      </c>
      <c r="F165" s="66" t="s">
        <v>126</v>
      </c>
      <c r="G165" s="21"/>
      <c r="H165" s="69" t="s">
        <v>229</v>
      </c>
      <c r="I165" s="74" t="s">
        <v>3</v>
      </c>
      <c r="J165" s="70" t="s">
        <v>227</v>
      </c>
      <c r="K165" s="69" t="s">
        <v>3</v>
      </c>
      <c r="L165" s="69" t="s">
        <v>104</v>
      </c>
    </row>
    <row r="166" spans="2:14">
      <c r="E166" s="107" t="s">
        <v>334</v>
      </c>
      <c r="F166" s="81" t="s">
        <v>313</v>
      </c>
      <c r="G166" s="78"/>
      <c r="H166" s="77"/>
      <c r="I166" s="76"/>
      <c r="J166" s="79"/>
      <c r="K166" s="77"/>
      <c r="L166" s="77"/>
    </row>
    <row r="173" spans="2:14">
      <c r="B173" s="61"/>
      <c r="C173" s="61"/>
      <c r="D173" s="61"/>
      <c r="E173" s="61" t="s">
        <v>272</v>
      </c>
      <c r="F173" s="155"/>
      <c r="G173" s="61" t="s">
        <v>273</v>
      </c>
      <c r="H173" s="61"/>
      <c r="I173" s="61" t="s">
        <v>274</v>
      </c>
      <c r="J173" s="61"/>
    </row>
    <row r="174" spans="2:14">
      <c r="E174" s="88" t="s">
        <v>150</v>
      </c>
      <c r="G174" s="83" t="s">
        <v>247</v>
      </c>
      <c r="H174" s="64"/>
      <c r="I174" s="64" t="s">
        <v>270</v>
      </c>
      <c r="J174" s="93" t="s">
        <v>328</v>
      </c>
    </row>
    <row r="175" spans="2:14">
      <c r="E175" s="80" t="s">
        <v>151</v>
      </c>
      <c r="F175" s="107"/>
      <c r="G175" s="84" t="s">
        <v>248</v>
      </c>
      <c r="H175" s="65"/>
      <c r="I175" s="65" t="s">
        <v>271</v>
      </c>
      <c r="J175" s="65"/>
    </row>
    <row r="176" spans="2:14">
      <c r="E176" s="87"/>
      <c r="G176" s="84"/>
      <c r="H176" s="65"/>
      <c r="I176" s="65"/>
      <c r="J176" s="65"/>
    </row>
    <row r="177" spans="5:10">
      <c r="E177" s="67" t="s">
        <v>243</v>
      </c>
      <c r="F177" s="67"/>
      <c r="G177" s="85" t="s">
        <v>249</v>
      </c>
      <c r="H177" s="67"/>
      <c r="I177" s="67" t="s">
        <v>269</v>
      </c>
      <c r="J177" s="99" t="s">
        <v>286</v>
      </c>
    </row>
    <row r="178" spans="5:10">
      <c r="E178" s="64"/>
      <c r="G178" s="83"/>
      <c r="H178" s="64"/>
      <c r="I178" s="64"/>
      <c r="J178" s="64"/>
    </row>
    <row r="179" spans="5:10">
      <c r="E179" s="89" t="s">
        <v>244</v>
      </c>
      <c r="F179" s="89"/>
      <c r="G179" s="90" t="s">
        <v>240</v>
      </c>
      <c r="H179" s="89"/>
      <c r="I179" s="89" t="s">
        <v>267</v>
      </c>
      <c r="J179" s="96" t="s">
        <v>324</v>
      </c>
    </row>
    <row r="180" spans="5:10">
      <c r="E180" s="65" t="s">
        <v>245</v>
      </c>
      <c r="F180" s="65"/>
      <c r="G180" s="84" t="s">
        <v>241</v>
      </c>
      <c r="H180" s="65"/>
      <c r="I180" s="65" t="s">
        <v>268</v>
      </c>
      <c r="J180" s="97" t="s">
        <v>325</v>
      </c>
    </row>
    <row r="181" spans="5:10">
      <c r="G181" s="86"/>
    </row>
    <row r="182" spans="5:10">
      <c r="E182" s="67" t="s">
        <v>250</v>
      </c>
      <c r="F182" s="67"/>
      <c r="G182" s="85" t="s">
        <v>251</v>
      </c>
      <c r="H182" s="67"/>
      <c r="I182" s="67" t="s">
        <v>156</v>
      </c>
      <c r="J182" s="98" t="s">
        <v>297</v>
      </c>
    </row>
    <row r="183" spans="5:10">
      <c r="G183" s="86"/>
    </row>
    <row r="184" spans="5:10">
      <c r="E184" s="89" t="s">
        <v>252</v>
      </c>
      <c r="F184" s="89"/>
      <c r="G184" s="90" t="s">
        <v>296</v>
      </c>
      <c r="H184" s="89"/>
      <c r="I184" s="89" t="s">
        <v>20</v>
      </c>
      <c r="J184" s="96" t="s">
        <v>290</v>
      </c>
    </row>
    <row r="185" spans="5:10">
      <c r="E185" s="64" t="s">
        <v>253</v>
      </c>
      <c r="F185" s="64"/>
      <c r="G185" s="83" t="s">
        <v>299</v>
      </c>
      <c r="H185" s="64"/>
      <c r="I185" s="64" t="s">
        <v>275</v>
      </c>
      <c r="J185" s="64"/>
    </row>
    <row r="186" spans="5:10">
      <c r="E186" s="65" t="s">
        <v>254</v>
      </c>
      <c r="F186" s="65"/>
      <c r="G186" s="84" t="s">
        <v>298</v>
      </c>
      <c r="H186" s="65"/>
      <c r="I186" s="65" t="s">
        <v>276</v>
      </c>
      <c r="J186" s="65"/>
    </row>
    <row r="187" spans="5:10">
      <c r="G187" s="86"/>
    </row>
    <row r="188" spans="5:10">
      <c r="E188" s="89" t="s">
        <v>255</v>
      </c>
      <c r="F188" s="89"/>
      <c r="G188" s="90" t="s">
        <v>304</v>
      </c>
      <c r="H188" s="89"/>
      <c r="I188" s="89" t="s">
        <v>260</v>
      </c>
      <c r="J188" s="96" t="s">
        <v>290</v>
      </c>
    </row>
    <row r="189" spans="5:10">
      <c r="E189" s="64" t="s">
        <v>256</v>
      </c>
      <c r="F189" s="64"/>
      <c r="G189" s="83" t="s">
        <v>305</v>
      </c>
      <c r="H189" s="64"/>
      <c r="I189" s="64" t="s">
        <v>261</v>
      </c>
      <c r="J189" s="64"/>
    </row>
    <row r="190" spans="5:10">
      <c r="E190" s="64" t="s">
        <v>257</v>
      </c>
      <c r="F190" s="64"/>
      <c r="G190" s="83" t="s">
        <v>306</v>
      </c>
      <c r="H190" s="64"/>
      <c r="I190" s="64" t="s">
        <v>262</v>
      </c>
      <c r="J190" s="64"/>
    </row>
    <row r="191" spans="5:10">
      <c r="E191" s="65" t="s">
        <v>291</v>
      </c>
      <c r="F191" s="65"/>
      <c r="G191" s="84" t="s">
        <v>307</v>
      </c>
      <c r="H191" s="65"/>
      <c r="I191" s="65" t="s">
        <v>263</v>
      </c>
      <c r="J191" s="65"/>
    </row>
    <row r="192" spans="5:10">
      <c r="G192" s="86"/>
    </row>
    <row r="193" spans="5:10">
      <c r="E193" s="89" t="s">
        <v>303</v>
      </c>
      <c r="F193" s="89"/>
      <c r="G193" s="90" t="s">
        <v>300</v>
      </c>
      <c r="H193" s="89"/>
      <c r="I193" s="89" t="s">
        <v>308</v>
      </c>
      <c r="J193" s="96" t="s">
        <v>310</v>
      </c>
    </row>
    <row r="194" spans="5:10">
      <c r="E194" s="65" t="s">
        <v>302</v>
      </c>
      <c r="F194" s="65"/>
      <c r="G194" s="84" t="s">
        <v>301</v>
      </c>
      <c r="H194" s="65"/>
      <c r="I194" s="65" t="s">
        <v>309</v>
      </c>
      <c r="J194" s="97" t="s">
        <v>311</v>
      </c>
    </row>
    <row r="195" spans="5:10">
      <c r="G195" s="86"/>
    </row>
    <row r="196" spans="5:10">
      <c r="E196" s="89" t="s">
        <v>265</v>
      </c>
      <c r="F196" s="89"/>
      <c r="G196" s="90" t="s">
        <v>294</v>
      </c>
      <c r="H196" s="89"/>
      <c r="I196" s="89" t="s">
        <v>277</v>
      </c>
      <c r="J196" s="94" t="s">
        <v>278</v>
      </c>
    </row>
    <row r="197" spans="5:10">
      <c r="E197" s="64" t="s">
        <v>282</v>
      </c>
      <c r="F197" s="64"/>
      <c r="G197" s="83" t="s">
        <v>295</v>
      </c>
      <c r="H197" s="64"/>
      <c r="I197" s="64" t="s">
        <v>283</v>
      </c>
      <c r="J197" s="92" t="s">
        <v>286</v>
      </c>
    </row>
    <row r="198" spans="5:10">
      <c r="E198" s="64" t="s">
        <v>258</v>
      </c>
      <c r="F198" s="64"/>
      <c r="G198" s="83" t="s">
        <v>314</v>
      </c>
      <c r="H198" s="64"/>
      <c r="I198" s="64" t="s">
        <v>264</v>
      </c>
      <c r="J198" s="93" t="s">
        <v>289</v>
      </c>
    </row>
    <row r="199" spans="5:10">
      <c r="E199" s="64" t="s">
        <v>284</v>
      </c>
      <c r="F199" s="64"/>
      <c r="G199" s="83" t="s">
        <v>293</v>
      </c>
      <c r="H199" s="64"/>
      <c r="I199" s="64" t="s">
        <v>285</v>
      </c>
      <c r="J199" s="92" t="s">
        <v>286</v>
      </c>
    </row>
    <row r="200" spans="5:10">
      <c r="E200" s="64" t="s">
        <v>259</v>
      </c>
      <c r="F200" s="64"/>
      <c r="G200" s="83" t="s">
        <v>292</v>
      </c>
      <c r="H200" s="64"/>
      <c r="I200" s="64" t="s">
        <v>280</v>
      </c>
      <c r="J200" s="92" t="s">
        <v>279</v>
      </c>
    </row>
    <row r="201" spans="5:10">
      <c r="E201" s="64"/>
      <c r="F201" s="64"/>
      <c r="G201" s="83"/>
      <c r="H201" s="64"/>
      <c r="I201" s="95" t="s">
        <v>287</v>
      </c>
      <c r="J201" s="95" t="s">
        <v>288</v>
      </c>
    </row>
    <row r="202" spans="5:10">
      <c r="E202" s="64" t="s">
        <v>190</v>
      </c>
      <c r="F202" s="64"/>
      <c r="G202" s="83" t="s">
        <v>323</v>
      </c>
      <c r="H202" s="64"/>
      <c r="I202" s="64" t="s">
        <v>281</v>
      </c>
      <c r="J202" s="100" t="s">
        <v>329</v>
      </c>
    </row>
    <row r="203" spans="5:10">
      <c r="E203" s="65" t="s">
        <v>246</v>
      </c>
      <c r="F203" s="65"/>
      <c r="G203" s="84" t="s">
        <v>242</v>
      </c>
      <c r="H203" s="65"/>
      <c r="I203" s="65" t="s">
        <v>266</v>
      </c>
      <c r="J203" s="97" t="s">
        <v>289</v>
      </c>
    </row>
    <row r="207" spans="5:10">
      <c r="G207" s="91" t="s">
        <v>315</v>
      </c>
    </row>
    <row r="208" spans="5:10">
      <c r="G208" s="91" t="s">
        <v>316</v>
      </c>
    </row>
    <row r="209" spans="7:7">
      <c r="G209" s="91" t="s">
        <v>317</v>
      </c>
    </row>
    <row r="210" spans="7:7">
      <c r="G210" s="91" t="s">
        <v>318</v>
      </c>
    </row>
    <row r="211" spans="7:7">
      <c r="G211" s="91" t="s">
        <v>319</v>
      </c>
    </row>
    <row r="212" spans="7:7">
      <c r="G212" s="91" t="s">
        <v>320</v>
      </c>
    </row>
    <row r="213" spans="7:7">
      <c r="G213" s="91" t="s">
        <v>321</v>
      </c>
    </row>
    <row r="214" spans="7:7">
      <c r="G214" s="91" t="s">
        <v>322</v>
      </c>
    </row>
  </sheetData>
  <mergeCells count="173">
    <mergeCell ref="N6:N7"/>
    <mergeCell ref="B26:B27"/>
    <mergeCell ref="C26:C27"/>
    <mergeCell ref="N12:N13"/>
    <mergeCell ref="B24:B25"/>
    <mergeCell ref="C24:C25"/>
    <mergeCell ref="N10:N11"/>
    <mergeCell ref="B30:B31"/>
    <mergeCell ref="C30:C31"/>
    <mergeCell ref="N16:N17"/>
    <mergeCell ref="B28:B29"/>
    <mergeCell ref="C28:C29"/>
    <mergeCell ref="E28:E29"/>
    <mergeCell ref="N14:N15"/>
    <mergeCell ref="B22:B23"/>
    <mergeCell ref="C22:C23"/>
    <mergeCell ref="N8:N9"/>
    <mergeCell ref="B10:B11"/>
    <mergeCell ref="C10:C11"/>
    <mergeCell ref="B8:B9"/>
    <mergeCell ref="C8:C9"/>
    <mergeCell ref="D20:D21"/>
    <mergeCell ref="D18:D19"/>
    <mergeCell ref="D16:D17"/>
    <mergeCell ref="B16:B17"/>
    <mergeCell ref="C16:C17"/>
    <mergeCell ref="B18:B19"/>
    <mergeCell ref="C18:C19"/>
    <mergeCell ref="B20:B21"/>
    <mergeCell ref="C20:C21"/>
    <mergeCell ref="B6:B7"/>
    <mergeCell ref="C6:C7"/>
    <mergeCell ref="B12:B13"/>
    <mergeCell ref="C12:C13"/>
    <mergeCell ref="B14:B15"/>
    <mergeCell ref="C14:C15"/>
    <mergeCell ref="B32:B33"/>
    <mergeCell ref="C32:C33"/>
    <mergeCell ref="B79:B80"/>
    <mergeCell ref="C79:C80"/>
    <mergeCell ref="N63:N64"/>
    <mergeCell ref="B77:B78"/>
    <mergeCell ref="C77:C78"/>
    <mergeCell ref="N61:N62"/>
    <mergeCell ref="D36:D37"/>
    <mergeCell ref="D34:D35"/>
    <mergeCell ref="B36:B37"/>
    <mergeCell ref="C36:C37"/>
    <mergeCell ref="N20:N21"/>
    <mergeCell ref="B34:B35"/>
    <mergeCell ref="C34:C35"/>
    <mergeCell ref="N18:N19"/>
    <mergeCell ref="D49:D50"/>
    <mergeCell ref="D51:D52"/>
    <mergeCell ref="D53:D54"/>
    <mergeCell ref="D55:D56"/>
    <mergeCell ref="D57:D58"/>
    <mergeCell ref="D59:D60"/>
    <mergeCell ref="D61:D62"/>
    <mergeCell ref="D63:D64"/>
    <mergeCell ref="B69:B70"/>
    <mergeCell ref="C69:C70"/>
    <mergeCell ref="N55:N56"/>
    <mergeCell ref="B67:B68"/>
    <mergeCell ref="C67:C68"/>
    <mergeCell ref="N53:N54"/>
    <mergeCell ref="B73:B74"/>
    <mergeCell ref="C73:C74"/>
    <mergeCell ref="N59:N60"/>
    <mergeCell ref="B71:B72"/>
    <mergeCell ref="C71:C72"/>
    <mergeCell ref="E71:E72"/>
    <mergeCell ref="N57:N58"/>
    <mergeCell ref="D67:D68"/>
    <mergeCell ref="D69:D70"/>
    <mergeCell ref="D71:D72"/>
    <mergeCell ref="D73:D74"/>
    <mergeCell ref="B49:B50"/>
    <mergeCell ref="C49:C50"/>
    <mergeCell ref="B55:B56"/>
    <mergeCell ref="C55:C56"/>
    <mergeCell ref="B57:B58"/>
    <mergeCell ref="C57:C58"/>
    <mergeCell ref="B65:B66"/>
    <mergeCell ref="C65:C66"/>
    <mergeCell ref="N51:N52"/>
    <mergeCell ref="B53:B54"/>
    <mergeCell ref="C53:C54"/>
    <mergeCell ref="B51:B52"/>
    <mergeCell ref="C51:C52"/>
    <mergeCell ref="D65:D66"/>
    <mergeCell ref="N49:N50"/>
    <mergeCell ref="B75:B76"/>
    <mergeCell ref="C75:C76"/>
    <mergeCell ref="B122:B123"/>
    <mergeCell ref="C122:C123"/>
    <mergeCell ref="N106:N107"/>
    <mergeCell ref="B120:B121"/>
    <mergeCell ref="C120:C121"/>
    <mergeCell ref="N104:N105"/>
    <mergeCell ref="B59:B60"/>
    <mergeCell ref="C59:C60"/>
    <mergeCell ref="B61:B62"/>
    <mergeCell ref="C61:C62"/>
    <mergeCell ref="B63:B64"/>
    <mergeCell ref="C63:C64"/>
    <mergeCell ref="D75:D76"/>
    <mergeCell ref="D77:D78"/>
    <mergeCell ref="D79:D80"/>
    <mergeCell ref="D92:D93"/>
    <mergeCell ref="D94:D95"/>
    <mergeCell ref="D96:D97"/>
    <mergeCell ref="D98:D99"/>
    <mergeCell ref="D100:D101"/>
    <mergeCell ref="D102:D103"/>
    <mergeCell ref="D104:D105"/>
    <mergeCell ref="B112:B113"/>
    <mergeCell ref="C112:C113"/>
    <mergeCell ref="N98:N99"/>
    <mergeCell ref="B110:B111"/>
    <mergeCell ref="C110:C111"/>
    <mergeCell ref="N96:N97"/>
    <mergeCell ref="B116:B117"/>
    <mergeCell ref="C116:C117"/>
    <mergeCell ref="N102:N103"/>
    <mergeCell ref="B114:B115"/>
    <mergeCell ref="C114:C115"/>
    <mergeCell ref="E114:E115"/>
    <mergeCell ref="N100:N101"/>
    <mergeCell ref="D110:D111"/>
    <mergeCell ref="D112:D113"/>
    <mergeCell ref="D114:D115"/>
    <mergeCell ref="D116:D117"/>
    <mergeCell ref="B94:B95"/>
    <mergeCell ref="C94:C95"/>
    <mergeCell ref="B92:B93"/>
    <mergeCell ref="C92:C93"/>
    <mergeCell ref="B98:B99"/>
    <mergeCell ref="C98:C99"/>
    <mergeCell ref="B108:B109"/>
    <mergeCell ref="C108:C109"/>
    <mergeCell ref="N94:N95"/>
    <mergeCell ref="B96:B97"/>
    <mergeCell ref="C96:C97"/>
    <mergeCell ref="N92:N93"/>
    <mergeCell ref="D106:D107"/>
    <mergeCell ref="D108:D109"/>
    <mergeCell ref="B106:B107"/>
    <mergeCell ref="C106:C107"/>
    <mergeCell ref="B118:B119"/>
    <mergeCell ref="C118:C119"/>
    <mergeCell ref="N161:N162"/>
    <mergeCell ref="N163:N164"/>
    <mergeCell ref="B100:B101"/>
    <mergeCell ref="C100:C101"/>
    <mergeCell ref="B102:B103"/>
    <mergeCell ref="C102:C103"/>
    <mergeCell ref="B104:B105"/>
    <mergeCell ref="C104:C105"/>
    <mergeCell ref="D118:D119"/>
    <mergeCell ref="D120:D121"/>
    <mergeCell ref="D122:D123"/>
    <mergeCell ref="D14:D15"/>
    <mergeCell ref="D12:D13"/>
    <mergeCell ref="D10:D11"/>
    <mergeCell ref="D8:D9"/>
    <mergeCell ref="D6:D7"/>
    <mergeCell ref="D32:D33"/>
    <mergeCell ref="D30:D31"/>
    <mergeCell ref="D28:D29"/>
    <mergeCell ref="D26:D27"/>
    <mergeCell ref="D24:D25"/>
    <mergeCell ref="D22:D23"/>
  </mergeCells>
  <pageMargins left="0.23622047244094491" right="0.23622047244094491" top="0.74803149606299213" bottom="0.74803149606299213" header="0.31496062992125984" footer="0.31496062992125984"/>
  <pageSetup paperSize="9" scale="77" fitToHeight="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B1:F49"/>
  <sheetViews>
    <sheetView workbookViewId="0">
      <selection activeCell="D5" sqref="D5"/>
    </sheetView>
  </sheetViews>
  <sheetFormatPr baseColWidth="10" defaultRowHeight="15"/>
  <cols>
    <col min="1" max="1" width="2.7109375" customWidth="1"/>
    <col min="2" max="2" width="19.140625" style="116" bestFit="1" customWidth="1"/>
    <col min="3" max="3" width="11.85546875" style="116" customWidth="1"/>
    <col min="4" max="4" width="11.42578125" style="116"/>
    <col min="5" max="5" width="27.28515625" style="1" customWidth="1"/>
    <col min="6" max="6" width="33" customWidth="1"/>
  </cols>
  <sheetData>
    <row r="1" spans="2:5" s="114" customFormat="1">
      <c r="B1" s="115" t="s">
        <v>339</v>
      </c>
      <c r="C1" s="115" t="s">
        <v>340</v>
      </c>
      <c r="D1" s="115" t="s">
        <v>362</v>
      </c>
      <c r="E1" s="117" t="s">
        <v>341</v>
      </c>
    </row>
    <row r="2" spans="2:5">
      <c r="B2" s="116">
        <v>1</v>
      </c>
      <c r="C2" s="116">
        <v>18</v>
      </c>
      <c r="D2" s="116">
        <v>27</v>
      </c>
      <c r="E2" s="1" t="s">
        <v>342</v>
      </c>
    </row>
    <row r="3" spans="2:5">
      <c r="B3" s="116">
        <v>2</v>
      </c>
      <c r="C3" s="116">
        <v>15</v>
      </c>
      <c r="D3" s="116">
        <v>13</v>
      </c>
      <c r="E3" s="1" t="s">
        <v>343</v>
      </c>
    </row>
    <row r="4" spans="2:5">
      <c r="B4" s="116">
        <v>3</v>
      </c>
      <c r="C4" s="116">
        <v>8</v>
      </c>
      <c r="D4" s="116">
        <v>6</v>
      </c>
      <c r="E4" s="1" t="s">
        <v>344</v>
      </c>
    </row>
    <row r="5" spans="2:5">
      <c r="B5" s="116">
        <v>4</v>
      </c>
      <c r="C5" s="116">
        <v>9</v>
      </c>
      <c r="D5" s="116">
        <v>10</v>
      </c>
      <c r="E5" s="1" t="s">
        <v>343</v>
      </c>
    </row>
    <row r="6" spans="2:5">
      <c r="B6" s="116">
        <v>5</v>
      </c>
      <c r="C6" s="116">
        <v>7</v>
      </c>
      <c r="D6" s="116">
        <v>5</v>
      </c>
      <c r="E6" s="1" t="s">
        <v>344</v>
      </c>
    </row>
    <row r="7" spans="2:5">
      <c r="B7" s="116">
        <v>6</v>
      </c>
      <c r="C7" s="116">
        <v>33</v>
      </c>
      <c r="D7" s="116">
        <v>26</v>
      </c>
      <c r="E7" s="1" t="s">
        <v>343</v>
      </c>
    </row>
    <row r="8" spans="2:5">
      <c r="B8" s="116">
        <v>7</v>
      </c>
      <c r="C8" s="116">
        <v>19</v>
      </c>
      <c r="D8" s="116">
        <v>7</v>
      </c>
      <c r="E8" s="1" t="s">
        <v>344</v>
      </c>
    </row>
    <row r="9" spans="2:5">
      <c r="B9" s="116">
        <v>8</v>
      </c>
      <c r="C9" s="116">
        <v>16</v>
      </c>
      <c r="D9" s="116">
        <v>14</v>
      </c>
      <c r="E9" s="1" t="s">
        <v>343</v>
      </c>
    </row>
    <row r="10" spans="2:5">
      <c r="B10" s="116">
        <v>9</v>
      </c>
      <c r="C10" s="116">
        <v>6</v>
      </c>
      <c r="D10" s="116">
        <v>4</v>
      </c>
      <c r="E10" s="1" t="s">
        <v>344</v>
      </c>
    </row>
    <row r="11" spans="2:5">
      <c r="B11" s="116">
        <v>10</v>
      </c>
      <c r="C11" s="116">
        <v>25</v>
      </c>
      <c r="D11" s="116">
        <v>17</v>
      </c>
      <c r="E11" s="1" t="s">
        <v>343</v>
      </c>
    </row>
    <row r="12" spans="2:5">
      <c r="B12" s="116">
        <v>11</v>
      </c>
      <c r="C12" s="116">
        <v>5</v>
      </c>
      <c r="D12" s="116">
        <v>3</v>
      </c>
      <c r="E12" s="1" t="s">
        <v>344</v>
      </c>
    </row>
    <row r="13" spans="2:5">
      <c r="B13" s="116">
        <v>12</v>
      </c>
      <c r="C13" s="116">
        <v>27</v>
      </c>
      <c r="D13" s="116">
        <v>19</v>
      </c>
      <c r="E13" s="1" t="s">
        <v>343</v>
      </c>
    </row>
    <row r="14" spans="2:5">
      <c r="B14" s="116">
        <v>13</v>
      </c>
      <c r="C14" s="116">
        <v>4</v>
      </c>
      <c r="D14" s="116">
        <v>2</v>
      </c>
      <c r="E14" s="1" t="s">
        <v>344</v>
      </c>
    </row>
    <row r="15" spans="2:5">
      <c r="B15" s="116">
        <v>14</v>
      </c>
      <c r="C15" s="116">
        <v>17</v>
      </c>
      <c r="D15" s="116">
        <v>15</v>
      </c>
      <c r="E15" s="1" t="s">
        <v>343</v>
      </c>
    </row>
    <row r="16" spans="2:5">
      <c r="B16" s="116">
        <v>15</v>
      </c>
      <c r="C16" s="116">
        <v>22</v>
      </c>
      <c r="D16" s="116">
        <v>8</v>
      </c>
      <c r="E16" s="1" t="s">
        <v>344</v>
      </c>
    </row>
    <row r="17" spans="2:6">
      <c r="B17" s="116">
        <v>16</v>
      </c>
      <c r="C17" s="116">
        <v>29</v>
      </c>
      <c r="D17" s="116">
        <v>21</v>
      </c>
      <c r="E17" s="1" t="s">
        <v>343</v>
      </c>
    </row>
    <row r="18" spans="2:6">
      <c r="B18" s="116">
        <v>17</v>
      </c>
      <c r="C18" s="116">
        <v>23</v>
      </c>
      <c r="D18" s="116">
        <v>9</v>
      </c>
      <c r="E18" s="1" t="s">
        <v>344</v>
      </c>
    </row>
    <row r="19" spans="2:6">
      <c r="B19" s="116">
        <v>18</v>
      </c>
      <c r="C19" s="116">
        <v>31</v>
      </c>
      <c r="D19" s="116">
        <v>23</v>
      </c>
      <c r="E19" s="1" t="s">
        <v>343</v>
      </c>
    </row>
    <row r="20" spans="2:6">
      <c r="B20" s="116">
        <v>19</v>
      </c>
      <c r="E20" s="1" t="s">
        <v>345</v>
      </c>
      <c r="F20" t="s">
        <v>346</v>
      </c>
    </row>
    <row r="21" spans="2:6">
      <c r="B21" s="116">
        <v>20</v>
      </c>
      <c r="C21" s="116">
        <v>24</v>
      </c>
      <c r="D21" s="116">
        <v>16</v>
      </c>
      <c r="E21" s="1" t="s">
        <v>343</v>
      </c>
    </row>
    <row r="22" spans="2:6">
      <c r="B22" s="116">
        <v>21</v>
      </c>
      <c r="E22" s="1" t="s">
        <v>347</v>
      </c>
    </row>
    <row r="23" spans="2:6">
      <c r="B23" s="116">
        <v>22</v>
      </c>
      <c r="C23" s="116">
        <v>26</v>
      </c>
      <c r="D23" s="116">
        <v>18</v>
      </c>
      <c r="E23" s="1" t="s">
        <v>343</v>
      </c>
    </row>
    <row r="24" spans="2:6">
      <c r="B24" s="116">
        <v>23</v>
      </c>
      <c r="E24" s="1" t="s">
        <v>347</v>
      </c>
    </row>
    <row r="25" spans="2:6">
      <c r="B25" s="116">
        <v>24</v>
      </c>
      <c r="C25" s="116">
        <v>14</v>
      </c>
      <c r="D25" s="116">
        <v>12</v>
      </c>
      <c r="E25" s="1" t="s">
        <v>343</v>
      </c>
    </row>
    <row r="26" spans="2:6">
      <c r="B26" s="116">
        <v>25</v>
      </c>
      <c r="E26" s="1" t="s">
        <v>347</v>
      </c>
    </row>
    <row r="27" spans="2:6">
      <c r="B27" s="116">
        <v>26</v>
      </c>
      <c r="C27" s="116">
        <v>28</v>
      </c>
      <c r="D27" s="116">
        <v>20</v>
      </c>
      <c r="E27" s="1" t="s">
        <v>343</v>
      </c>
    </row>
    <row r="28" spans="2:6">
      <c r="B28" s="116">
        <v>27</v>
      </c>
      <c r="E28" s="1" t="s">
        <v>347</v>
      </c>
    </row>
    <row r="29" spans="2:6">
      <c r="B29" s="116">
        <v>28</v>
      </c>
      <c r="C29" s="116">
        <v>30</v>
      </c>
      <c r="D29" s="116">
        <v>22</v>
      </c>
      <c r="E29" s="1" t="s">
        <v>343</v>
      </c>
    </row>
    <row r="30" spans="2:6">
      <c r="B30" s="116">
        <v>29</v>
      </c>
      <c r="E30" s="1" t="s">
        <v>347</v>
      </c>
    </row>
    <row r="31" spans="2:6">
      <c r="B31" s="116">
        <v>30</v>
      </c>
      <c r="C31" s="116">
        <v>32</v>
      </c>
      <c r="D31" s="116">
        <v>24</v>
      </c>
      <c r="E31" s="1" t="s">
        <v>343</v>
      </c>
    </row>
    <row r="32" spans="2:6">
      <c r="B32" s="116">
        <v>31</v>
      </c>
      <c r="E32" s="1" t="s">
        <v>347</v>
      </c>
    </row>
    <row r="33" spans="2:6">
      <c r="B33" s="116">
        <v>32</v>
      </c>
      <c r="C33" s="116">
        <v>10</v>
      </c>
      <c r="D33" s="116">
        <v>11</v>
      </c>
      <c r="E33" s="1" t="s">
        <v>343</v>
      </c>
    </row>
    <row r="34" spans="2:6">
      <c r="B34" s="116">
        <v>33</v>
      </c>
      <c r="E34" s="1" t="s">
        <v>347</v>
      </c>
    </row>
    <row r="35" spans="2:6">
      <c r="B35" s="116">
        <v>34</v>
      </c>
      <c r="D35" s="116" t="s">
        <v>348</v>
      </c>
      <c r="E35" s="1" t="s">
        <v>348</v>
      </c>
    </row>
    <row r="36" spans="2:6">
      <c r="B36" s="116">
        <v>35</v>
      </c>
      <c r="E36" s="1" t="s">
        <v>347</v>
      </c>
    </row>
    <row r="37" spans="2:6">
      <c r="B37" s="116">
        <v>36</v>
      </c>
      <c r="E37" s="1" t="s">
        <v>348</v>
      </c>
    </row>
    <row r="38" spans="2:6">
      <c r="B38" s="116">
        <v>37</v>
      </c>
      <c r="C38" s="116">
        <v>1</v>
      </c>
      <c r="D38" s="116">
        <v>1</v>
      </c>
      <c r="E38" s="1" t="s">
        <v>350</v>
      </c>
      <c r="F38" t="s">
        <v>354</v>
      </c>
    </row>
    <row r="39" spans="2:6">
      <c r="B39" s="116">
        <v>38</v>
      </c>
      <c r="E39" s="1" t="s">
        <v>351</v>
      </c>
    </row>
    <row r="40" spans="2:6">
      <c r="B40" s="116">
        <v>39</v>
      </c>
      <c r="C40" s="116">
        <v>0</v>
      </c>
      <c r="D40" s="116">
        <v>0</v>
      </c>
      <c r="E40" s="1" t="s">
        <v>349</v>
      </c>
      <c r="F40" t="s">
        <v>354</v>
      </c>
    </row>
    <row r="41" spans="2:6">
      <c r="B41" s="116">
        <v>40</v>
      </c>
      <c r="E41" s="1" t="s">
        <v>352</v>
      </c>
      <c r="F41" t="s">
        <v>353</v>
      </c>
    </row>
    <row r="42" spans="2:6">
      <c r="C42" s="116">
        <v>2</v>
      </c>
      <c r="F42" t="s">
        <v>355</v>
      </c>
    </row>
    <row r="43" spans="2:6">
      <c r="C43" s="116">
        <v>3</v>
      </c>
      <c r="F43" t="s">
        <v>356</v>
      </c>
    </row>
    <row r="44" spans="2:6">
      <c r="C44" s="116">
        <v>11</v>
      </c>
      <c r="F44" t="s">
        <v>360</v>
      </c>
    </row>
    <row r="45" spans="2:6">
      <c r="C45" s="116">
        <v>12</v>
      </c>
      <c r="F45" t="s">
        <v>361</v>
      </c>
    </row>
    <row r="46" spans="2:6">
      <c r="C46" s="116">
        <v>13</v>
      </c>
      <c r="F46" t="s">
        <v>357</v>
      </c>
    </row>
    <row r="47" spans="2:6">
      <c r="C47" s="116">
        <v>20</v>
      </c>
      <c r="F47" t="s">
        <v>358</v>
      </c>
    </row>
    <row r="48" spans="2:6">
      <c r="C48" s="116">
        <v>21</v>
      </c>
      <c r="F48" t="s">
        <v>359</v>
      </c>
    </row>
    <row r="49" spans="4:5">
      <c r="D49" s="116">
        <v>25</v>
      </c>
      <c r="E49" s="1" t="s">
        <v>363</v>
      </c>
    </row>
  </sheetData>
  <autoFilter ref="B1:F1">
    <sortState ref="B2:F49">
      <sortCondition ref="B1"/>
    </sortState>
  </autoFilter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Tabelle1</vt:lpstr>
      <vt:lpstr>Matrix</vt:lpstr>
      <vt:lpstr>Matrix (2)</vt:lpstr>
      <vt:lpstr>Pinout</vt:lpstr>
      <vt:lpstr>Matrix!Druckbereich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</dc:creator>
  <cp:lastModifiedBy>Michael Wahlen</cp:lastModifiedBy>
  <cp:lastPrinted>2026-04-08T16:05:08Z</cp:lastPrinted>
  <dcterms:created xsi:type="dcterms:W3CDTF">2025-04-13T17:15:54Z</dcterms:created>
  <dcterms:modified xsi:type="dcterms:W3CDTF">2026-04-08T16:05:10Z</dcterms:modified>
</cp:coreProperties>
</file>